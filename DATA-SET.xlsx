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991F7D75-227A-43D4-9E9D-B6FE87146F08}" xr6:coauthVersionLast="47" xr6:coauthVersionMax="47" xr10:uidLastSave="{00000000-0000-0000-0000-000000000000}"/>
  <bookViews>
    <workbookView xWindow="-110" yWindow="-110" windowWidth="19420" windowHeight="10300" xr2:uid="{3EFC475D-7CA2-4742-A5F9-831CCDDABE4C}"/>
  </bookViews>
  <sheets>
    <sheet name="DATA" sheetId="1" r:id="rId1"/>
    <sheet name="WHAT IF ANALYSIS" sheetId="2" r:id="rId2"/>
    <sheet name="Dashboard" sheetId="4" r:id="rId3"/>
    <sheet name="Story" sheetId="5" r:id="rId4"/>
  </sheets>
  <definedNames>
    <definedName name="Slicer_DATE">#N/A</definedName>
  </definedNames>
  <calcPr calcId="191029"/>
  <pivotCaches>
    <pivotCache cacheId="2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2" i="4" l="1"/>
  <c r="L22" i="4"/>
  <c r="B22" i="4"/>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C17" i="2"/>
  <c r="C16" i="2"/>
  <c r="C18" i="2" l="1"/>
</calcChain>
</file>

<file path=xl/sharedStrings.xml><?xml version="1.0" encoding="utf-8"?>
<sst xmlns="http://schemas.openxmlformats.org/spreadsheetml/2006/main" count="221" uniqueCount="157">
  <si>
    <t>S/N</t>
  </si>
  <si>
    <t>PRODUCT</t>
  </si>
  <si>
    <t>UNIT PRODUCED</t>
  </si>
  <si>
    <t>UNIT COST</t>
  </si>
  <si>
    <t>SALES PRICE</t>
  </si>
  <si>
    <t>DATE</t>
  </si>
  <si>
    <t>Dangote Sugar</t>
  </si>
  <si>
    <t>Golden Penny Flour</t>
  </si>
  <si>
    <t>Mama Gold Rice</t>
  </si>
  <si>
    <t>Indomie Noodles</t>
  </si>
  <si>
    <t>Peak Milk</t>
  </si>
  <si>
    <t>Power Oil</t>
  </si>
  <si>
    <t>Kings Vegetable Oil</t>
  </si>
  <si>
    <t>Blue Band Margarine</t>
  </si>
  <si>
    <t>Milo</t>
  </si>
  <si>
    <t>Bournvita</t>
  </si>
  <si>
    <t>Peak Chocolate</t>
  </si>
  <si>
    <t>Peak 456 Growing Up Milk</t>
  </si>
  <si>
    <t>Cowbell Milk</t>
  </si>
  <si>
    <t>Chocomilo</t>
  </si>
  <si>
    <t>Geisha Mackerel</t>
  </si>
  <si>
    <t>Titus Sardines</t>
  </si>
  <si>
    <t>Maggi Seasoning</t>
  </si>
  <si>
    <t>Gino Tomato Paste</t>
  </si>
  <si>
    <t>Golden Morn</t>
  </si>
  <si>
    <t>Onga Seasoning</t>
  </si>
  <si>
    <t>Knorr Cubes</t>
  </si>
  <si>
    <t>Lipton Tea</t>
  </si>
  <si>
    <t>Nasco Cornflakes</t>
  </si>
  <si>
    <t>Nestle Water</t>
  </si>
  <si>
    <t>La Casera</t>
  </si>
  <si>
    <t>Lucozade</t>
  </si>
  <si>
    <t>Maltina</t>
  </si>
  <si>
    <t>Ribena</t>
  </si>
  <si>
    <t>Chivita Juice</t>
  </si>
  <si>
    <t>Bigi Cola</t>
  </si>
  <si>
    <t>Pepsi</t>
  </si>
  <si>
    <t>Sprite</t>
  </si>
  <si>
    <t>Fanta</t>
  </si>
  <si>
    <t>Coca-Cola</t>
  </si>
  <si>
    <t>Fayrouz</t>
  </si>
  <si>
    <t>Amstel Malta</t>
  </si>
  <si>
    <t>Hollandia Yoghurt</t>
  </si>
  <si>
    <t>Dano Milk</t>
  </si>
  <si>
    <t>Peak Yoghurt</t>
  </si>
  <si>
    <t>Superbite Chips</t>
  </si>
  <si>
    <t>Mr. Bigg's Meat Pie</t>
  </si>
  <si>
    <t>Digestive Biscuits</t>
  </si>
  <si>
    <t>Dangote Salt</t>
  </si>
  <si>
    <t>Royal Umbrella Rice</t>
  </si>
  <si>
    <t>Kunu Drink</t>
  </si>
  <si>
    <t>Tiger Nuts</t>
  </si>
  <si>
    <t>African Salad (Abacha)</t>
  </si>
  <si>
    <t>Garri</t>
  </si>
  <si>
    <t>Semovita</t>
  </si>
  <si>
    <t>Indomie Bellefull</t>
  </si>
  <si>
    <t>Golden Penny Semovita</t>
  </si>
  <si>
    <t>Honeywell Wheatmeal</t>
  </si>
  <si>
    <t>Okomu Oil Palm Oil</t>
  </si>
  <si>
    <t>Golden Penny Semolina</t>
  </si>
  <si>
    <t>Honeywell Semolina</t>
  </si>
  <si>
    <t>Mama's Pride Rice</t>
  </si>
  <si>
    <t>Nigerian Parboiled Rice</t>
  </si>
  <si>
    <t>Honeywell Noodles</t>
  </si>
  <si>
    <t>Minimie Chinchin</t>
  </si>
  <si>
    <t>Superbite Plantain Chips</t>
  </si>
  <si>
    <t>Kpomo (Cow Skin)</t>
  </si>
  <si>
    <t>Dried Fish</t>
  </si>
  <si>
    <t>Stockfish</t>
  </si>
  <si>
    <t>Bonga Fish</t>
  </si>
  <si>
    <t>Bama Mayonnaise</t>
  </si>
  <si>
    <t>Pure Bliss Biscuits</t>
  </si>
  <si>
    <t>Golden Penny Pasta</t>
  </si>
  <si>
    <t>Power Pasta</t>
  </si>
  <si>
    <t>Mama's Pride Beans</t>
  </si>
  <si>
    <t>Golden Penny Beans</t>
  </si>
  <si>
    <t>Ovaltine</t>
  </si>
  <si>
    <t>Milo Energy Cubes</t>
  </si>
  <si>
    <t>Koko Krunch</t>
  </si>
  <si>
    <t>Champion Cornflakes</t>
  </si>
  <si>
    <t>Golden Penny Oil</t>
  </si>
  <si>
    <t>Delta Soap</t>
  </si>
  <si>
    <t>Premier Toilet Tissue</t>
  </si>
  <si>
    <t>Dettol Antiseptic</t>
  </si>
  <si>
    <t>Morning Fresh Dishwashing Liquid</t>
  </si>
  <si>
    <t>Ariel Detergent</t>
  </si>
  <si>
    <t>Sunlight Soap</t>
  </si>
  <si>
    <t>Venus Razor Blades</t>
  </si>
  <si>
    <t>Vaseline Petroleum Jelly</t>
  </si>
  <si>
    <t>Peak Chocolate Spread</t>
  </si>
  <si>
    <t>Chivita Active Juice</t>
  </si>
  <si>
    <t>Devon King's Cooking Oil</t>
  </si>
  <si>
    <t>Mr. Chef Seasoning</t>
  </si>
  <si>
    <t>Tiger Seasoning</t>
  </si>
  <si>
    <t>Thousand Island Dressing</t>
  </si>
  <si>
    <t>Dano Cool Cow Milk</t>
  </si>
  <si>
    <t>Waw Drinking Water</t>
  </si>
  <si>
    <t>PZ Cussons Baby Products</t>
  </si>
  <si>
    <t>Dufil Prima Foods Products</t>
  </si>
  <si>
    <t>Blue Boat Fresh Fish</t>
  </si>
  <si>
    <t>Bigi Soft Drinks</t>
  </si>
  <si>
    <t>Zobo Leaves</t>
  </si>
  <si>
    <t>Egusi</t>
  </si>
  <si>
    <t>Efo Riro Vegetables</t>
  </si>
  <si>
    <t>Dried Ugu Leaves</t>
  </si>
  <si>
    <t>Pepper Soup Spices</t>
  </si>
  <si>
    <t>Nigerian Yam</t>
  </si>
  <si>
    <t>Plantains</t>
  </si>
  <si>
    <t>Pounded Yam Flour</t>
  </si>
  <si>
    <t>Egusi Soup Ingredients</t>
  </si>
  <si>
    <t>Ogbono Soup Ingredients</t>
  </si>
  <si>
    <t>Groundnut Oil</t>
  </si>
  <si>
    <t>Onions</t>
  </si>
  <si>
    <t>Tomatoes</t>
  </si>
  <si>
    <t>Nigerian Spices</t>
  </si>
  <si>
    <t>Bottled Palm Wine</t>
  </si>
  <si>
    <t>Kilishi (Dried Meat)</t>
  </si>
  <si>
    <t>Suya Spices</t>
  </si>
  <si>
    <t>Nigerian Snacks (Chin Chin</t>
  </si>
  <si>
    <t>Local Snacks (Kuli Kuli</t>
  </si>
  <si>
    <t>Local Herbs and Remedies</t>
  </si>
  <si>
    <t>Nigerian Sweets and Candies</t>
  </si>
  <si>
    <t>TOTAL COST</t>
  </si>
  <si>
    <t>TOTAL REVENUE</t>
  </si>
  <si>
    <t>PROFIT</t>
  </si>
  <si>
    <t>WHAT IF ANALYSIS</t>
  </si>
  <si>
    <t>INFORMATION</t>
  </si>
  <si>
    <t>PROFIT AND LOSS ACCOUNT</t>
  </si>
  <si>
    <t>UNIT PRODUCED/SOLD</t>
  </si>
  <si>
    <t>RENT PER UNIT</t>
  </si>
  <si>
    <t>LABOUR PER UNIT</t>
  </si>
  <si>
    <t>REVENUE</t>
  </si>
  <si>
    <t>Row Labels</t>
  </si>
  <si>
    <t>Grand Total</t>
  </si>
  <si>
    <t>Sum of PROFIT</t>
  </si>
  <si>
    <t>Sum of REVENUE</t>
  </si>
  <si>
    <t>2023</t>
  </si>
  <si>
    <t>2024</t>
  </si>
  <si>
    <t>Oct</t>
  </si>
  <si>
    <t>Nov</t>
  </si>
  <si>
    <t>Jan</t>
  </si>
  <si>
    <t>Feb</t>
  </si>
  <si>
    <t>Sum of UNIT PRODUCED</t>
  </si>
  <si>
    <t>SALES OVERVIEW</t>
  </si>
  <si>
    <t xml:space="preserve">  </t>
  </si>
  <si>
    <t xml:space="preserve">                                        OVERALL PERFORMANCE</t>
  </si>
  <si>
    <t xml:space="preserve">      INTRODUCTION</t>
  </si>
  <si>
    <t xml:space="preserve"> The dashboard shows that the business achieved strong overall performance,</t>
  </si>
  <si>
    <t>generating a total revenue of 5.69 million and producing 31,351 units. Revenue peaked</t>
  </si>
  <si>
    <t>significantly in October 2023, followed by a sharp decline in November before</t>
  </si>
  <si>
    <t>gradually recovering in early 2024. Products such as Golden Morn, Bournvita, and Knorr</t>
  </si>
  <si>
    <t>Cube played major roles in driving production and sales, demonstrating the company’s</t>
  </si>
  <si>
    <t>strong and diversified product range.</t>
  </si>
  <si>
    <t>This sales dashboard provides an overview of the company's business performance, highlighting key</t>
  </si>
  <si>
    <t xml:space="preserve">It helps management monitor sales growth, production output, and product contribution to </t>
  </si>
  <si>
    <t>support better business decisions.</t>
  </si>
  <si>
    <t xml:space="preserve">metrics such as total revenue, profit,  monthly revenue trends, and top-performing products.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</si>
</sst>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1" x14ac:knownFonts="1">
    <font>
      <sz val="12"/>
      <color theme="1"/>
      <name val="Calibri"/>
      <family val="2"/>
      <scheme val="minor"/>
    </font>
    <font>
      <b/>
      <sz val="12"/>
      <color theme="0"/>
      <name val="Calibri"/>
      <family val="2"/>
      <scheme val="minor"/>
    </font>
    <font>
      <sz val="8"/>
      <name val="Calibri"/>
      <family val="2"/>
      <scheme val="minor"/>
    </font>
    <font>
      <sz val="12"/>
      <color theme="0"/>
      <name val="Calibri"/>
      <family val="2"/>
      <scheme val="minor"/>
    </font>
    <font>
      <sz val="12"/>
      <color theme="1"/>
      <name val="Calibri"/>
      <family val="2"/>
      <scheme val="minor"/>
    </font>
    <font>
      <sz val="12"/>
      <color theme="5" tint="0.39997558519241921"/>
      <name val="Calibri"/>
      <family val="2"/>
      <scheme val="minor"/>
    </font>
    <font>
      <sz val="22"/>
      <color theme="0"/>
      <name val="Calibri"/>
      <family val="2"/>
      <scheme val="minor"/>
    </font>
    <font>
      <b/>
      <sz val="10"/>
      <color rgb="FF4472C4"/>
      <name val="Calibri"/>
      <family val="2"/>
      <scheme val="minor"/>
    </font>
    <font>
      <b/>
      <sz val="12"/>
      <color theme="1"/>
      <name val="Calibri"/>
      <family val="2"/>
      <scheme val="minor"/>
    </font>
    <font>
      <b/>
      <sz val="26"/>
      <color theme="1"/>
      <name val="Calibri"/>
      <family val="2"/>
      <scheme val="minor"/>
    </font>
    <font>
      <sz val="26"/>
      <color theme="5" tint="0.39997558519241921"/>
      <name val="Calibri"/>
      <family val="2"/>
      <scheme val="minor"/>
    </font>
  </fonts>
  <fills count="9">
    <fill>
      <patternFill patternType="none"/>
    </fill>
    <fill>
      <patternFill patternType="gray125"/>
    </fill>
    <fill>
      <patternFill patternType="solid">
        <fgColor rgb="FF3EA9C1"/>
        <bgColor indexed="64"/>
      </patternFill>
    </fill>
    <fill>
      <patternFill patternType="solid">
        <fgColor rgb="FFCD2E45"/>
        <bgColor indexed="64"/>
      </patternFill>
    </fill>
    <fill>
      <patternFill patternType="solid">
        <fgColor theme="5" tint="-0.249977111117893"/>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4" tint="0.3999755851924192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theme="4" tint="0.39997558519241921"/>
      </left>
      <right/>
      <top/>
      <bottom/>
      <diagonal/>
    </border>
    <border>
      <left style="thin">
        <color theme="4" tint="0.39997558519241921"/>
      </left>
      <right/>
      <top style="thin">
        <color theme="4" tint="0.39997558519241921"/>
      </top>
      <bottom style="thin">
        <color theme="4" tint="0.39997558519241921"/>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theme="4" tint="0.39997558519241921"/>
      </left>
      <right style="thin">
        <color theme="4" tint="0.39997558519241921"/>
      </right>
      <top/>
      <bottom style="thin">
        <color theme="4" tint="0.39997558519241921"/>
      </bottom>
      <diagonal/>
    </border>
  </borders>
  <cellStyleXfs count="2">
    <xf numFmtId="0" fontId="0" fillId="0" borderId="0"/>
    <xf numFmtId="43" fontId="4" fillId="0" borderId="0" applyFont="0" applyFill="0" applyBorder="0" applyAlignment="0" applyProtection="0"/>
  </cellStyleXfs>
  <cellXfs count="26">
    <xf numFmtId="0" fontId="0" fillId="0" borderId="0" xfId="0"/>
    <xf numFmtId="0" fontId="0" fillId="0" borderId="1" xfId="0" applyBorder="1" applyAlignment="1">
      <alignment horizontal="left"/>
    </xf>
    <xf numFmtId="14" fontId="0" fillId="0" borderId="1" xfId="0" applyNumberFormat="1" applyBorder="1" applyAlignment="1">
      <alignment horizontal="left"/>
    </xf>
    <xf numFmtId="0" fontId="0" fillId="0" borderId="0" xfId="0" applyAlignment="1">
      <alignment horizontal="left"/>
    </xf>
    <xf numFmtId="14" fontId="0" fillId="0" borderId="0" xfId="0" applyNumberFormat="1" applyAlignment="1">
      <alignment horizontal="left"/>
    </xf>
    <xf numFmtId="14" fontId="0" fillId="0" borderId="0" xfId="0" applyNumberFormat="1"/>
    <xf numFmtId="0" fontId="1" fillId="2" borderId="3" xfId="0" applyFont="1" applyFill="1" applyBorder="1" applyAlignment="1">
      <alignment horizontal="left"/>
    </xf>
    <xf numFmtId="0" fontId="1" fillId="2" borderId="0" xfId="0" applyFont="1" applyFill="1" applyAlignment="1">
      <alignment horizontal="left"/>
    </xf>
    <xf numFmtId="0" fontId="0" fillId="0" borderId="1" xfId="0" applyBorder="1" applyAlignment="1">
      <alignment horizontal="right"/>
    </xf>
    <xf numFmtId="0" fontId="0" fillId="0" borderId="4" xfId="0" applyBorder="1" applyAlignment="1">
      <alignment horizontal="left"/>
    </xf>
    <xf numFmtId="0" fontId="0" fillId="0" borderId="5" xfId="0" applyBorder="1" applyAlignment="1">
      <alignment horizontal="left"/>
    </xf>
    <xf numFmtId="0" fontId="1" fillId="4" borderId="2" xfId="0" applyFont="1" applyFill="1" applyBorder="1" applyAlignment="1">
      <alignment horizontal="left"/>
    </xf>
    <xf numFmtId="0" fontId="1" fillId="4" borderId="6" xfId="0" applyFont="1" applyFill="1" applyBorder="1" applyAlignment="1">
      <alignment horizontal="left"/>
    </xf>
    <xf numFmtId="0" fontId="0" fillId="0" borderId="0" xfId="0" pivotButton="1"/>
    <xf numFmtId="0" fontId="0" fillId="0" borderId="0" xfId="0" applyAlignment="1">
      <alignment horizontal="left" indent="1"/>
    </xf>
    <xf numFmtId="0" fontId="0" fillId="0" borderId="0" xfId="0" applyAlignment="1">
      <alignment horizontal="center"/>
    </xf>
    <xf numFmtId="0" fontId="5" fillId="5" borderId="0" xfId="0" applyFont="1" applyFill="1" applyAlignment="1">
      <alignment horizontal="center"/>
    </xf>
    <xf numFmtId="0" fontId="0" fillId="8" borderId="0" xfId="0" applyFill="1"/>
    <xf numFmtId="0" fontId="7" fillId="0" borderId="0" xfId="0" applyFont="1"/>
    <xf numFmtId="43" fontId="6" fillId="7" borderId="0" xfId="1" applyFont="1" applyFill="1"/>
    <xf numFmtId="43" fontId="6" fillId="8" borderId="0" xfId="1" applyFont="1" applyFill="1"/>
    <xf numFmtId="43" fontId="6" fillId="6" borderId="0" xfId="1" applyFont="1" applyFill="1"/>
    <xf numFmtId="0" fontId="8" fillId="0" borderId="0" xfId="0" applyFont="1"/>
    <xf numFmtId="0" fontId="3" fillId="3" borderId="0" xfId="0" applyFont="1" applyFill="1" applyAlignment="1">
      <alignment horizontal="center"/>
    </xf>
    <xf numFmtId="0" fontId="9" fillId="5" borderId="0" xfId="0" applyFont="1" applyFill="1" applyAlignment="1">
      <alignment horizontal="center"/>
    </xf>
    <xf numFmtId="0" fontId="10" fillId="5" borderId="0" xfId="0" applyFont="1" applyFill="1" applyAlignment="1">
      <alignment horizontal="center"/>
    </xf>
  </cellXfs>
  <cellStyles count="2">
    <cellStyle name="Comma" xfId="1" builtinId="3"/>
    <cellStyle name="Normal" xfId="0" builtinId="0"/>
  </cellStyles>
  <dxfs count="12">
    <dxf>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theme="4" tint="0.39997558519241921"/>
        </top>
      </border>
    </dxf>
    <dxf>
      <alignment horizontal="left"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2"/>
        <color theme="0"/>
        <name val="Calibri"/>
        <family val="2"/>
        <scheme val="minor"/>
      </font>
      <fill>
        <patternFill patternType="solid">
          <fgColor indexed="64"/>
          <bgColor theme="5" tint="-0.249977111117893"/>
        </patternFill>
      </fill>
      <alignment horizontal="left" vertical="bottom" textRotation="0" wrapText="0" indent="0" justifyLastLine="0" shrinkToFit="0" readingOrder="0"/>
      <border diagonalUp="0" diagonalDown="0" outline="0">
        <left style="thin">
          <color theme="4" tint="0.39997558519241921"/>
        </left>
        <right style="thin">
          <color theme="4" tint="0.3999755851924192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[DATA-SET.xlsx]Dashboard!PivotTable4</c:name>
    <c:fmtId val="0"/>
  </c:pivotSource>
  <c:chart>
    <c:autoTitleDeleted val="1"/>
    <c:pivotFmts>
      <c:pivotFmt>
        <c:idx val="0"/>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18817841510498"/>
          <c:y val="0.17788343764721717"/>
          <c:w val="0.82781182158489508"/>
          <c:h val="0.5368493842115889"/>
        </c:manualLayout>
      </c:layout>
      <c:lineChart>
        <c:grouping val="standard"/>
        <c:varyColors val="0"/>
        <c:ser>
          <c:idx val="0"/>
          <c:order val="0"/>
          <c:tx>
            <c:strRef>
              <c:f>Dashboard!$G$39</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Dashboard!$F$40:$F$46</c:f>
              <c:multiLvlStrCache>
                <c:ptCount val="4"/>
                <c:lvl>
                  <c:pt idx="0">
                    <c:v>Oct</c:v>
                  </c:pt>
                  <c:pt idx="1">
                    <c:v>Nov</c:v>
                  </c:pt>
                  <c:pt idx="2">
                    <c:v>Jan</c:v>
                  </c:pt>
                  <c:pt idx="3">
                    <c:v>Feb</c:v>
                  </c:pt>
                </c:lvl>
                <c:lvl>
                  <c:pt idx="0">
                    <c:v>2023</c:v>
                  </c:pt>
                  <c:pt idx="2">
                    <c:v>2024</c:v>
                  </c:pt>
                </c:lvl>
              </c:multiLvlStrCache>
            </c:multiLvlStrRef>
          </c:cat>
          <c:val>
            <c:numRef>
              <c:f>Dashboard!$G$40:$G$46</c:f>
              <c:numCache>
                <c:formatCode>General</c:formatCode>
                <c:ptCount val="4"/>
                <c:pt idx="0">
                  <c:v>3774319</c:v>
                </c:pt>
                <c:pt idx="1">
                  <c:v>303930</c:v>
                </c:pt>
                <c:pt idx="2">
                  <c:v>687549</c:v>
                </c:pt>
                <c:pt idx="3">
                  <c:v>923200</c:v>
                </c:pt>
              </c:numCache>
            </c:numRef>
          </c:val>
          <c:smooth val="0"/>
          <c:extLst>
            <c:ext xmlns:c16="http://schemas.microsoft.com/office/drawing/2014/chart" uri="{C3380CC4-5D6E-409C-BE32-E72D297353CC}">
              <c16:uniqueId val="{00000000-86B9-4EC7-9B5B-485A1A9E793A}"/>
            </c:ext>
          </c:extLst>
        </c:ser>
        <c:dLbls>
          <c:dLblPos val="t"/>
          <c:showLegendKey val="0"/>
          <c:showVal val="1"/>
          <c:showCatName val="0"/>
          <c:showSerName val="0"/>
          <c:showPercent val="0"/>
          <c:showBubbleSize val="0"/>
        </c:dLbls>
        <c:marker val="1"/>
        <c:smooth val="0"/>
        <c:axId val="930631008"/>
        <c:axId val="930630048"/>
      </c:lineChart>
      <c:catAx>
        <c:axId val="930631008"/>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30630048"/>
        <c:crosses val="autoZero"/>
        <c:auto val="1"/>
        <c:lblAlgn val="ctr"/>
        <c:lblOffset val="100"/>
        <c:noMultiLvlLbl val="0"/>
      </c:catAx>
      <c:valAx>
        <c:axId val="930630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30631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[DATA-SET.xlsx]Dashboard!PivotTable6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395531692632569E-2"/>
          <c:y val="0.12088170908400947"/>
          <c:w val="0.88722073078953578"/>
          <c:h val="0.56750439921454121"/>
        </c:manualLayout>
      </c:layout>
      <c:barChart>
        <c:barDir val="col"/>
        <c:grouping val="clustered"/>
        <c:varyColors val="0"/>
        <c:ser>
          <c:idx val="0"/>
          <c:order val="0"/>
          <c:tx>
            <c:strRef>
              <c:f>Dashboard!$K$39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Dashboard!$J$40:$J$50</c:f>
              <c:strCache>
                <c:ptCount val="10"/>
                <c:pt idx="0">
                  <c:v>Bigi Cola</c:v>
                </c:pt>
                <c:pt idx="1">
                  <c:v>Bournvita</c:v>
                </c:pt>
                <c:pt idx="2">
                  <c:v>Chocomilo</c:v>
                </c:pt>
                <c:pt idx="3">
                  <c:v>Dangote Sugar</c:v>
                </c:pt>
                <c:pt idx="4">
                  <c:v>Golden Morn</c:v>
                </c:pt>
                <c:pt idx="5">
                  <c:v>Knorr Cubes</c:v>
                </c:pt>
                <c:pt idx="6">
                  <c:v>Lucozade</c:v>
                </c:pt>
                <c:pt idx="7">
                  <c:v>Maltina</c:v>
                </c:pt>
                <c:pt idx="8">
                  <c:v>Milo</c:v>
                </c:pt>
                <c:pt idx="9">
                  <c:v>Peak 456 Growing Up Milk</c:v>
                </c:pt>
              </c:strCache>
            </c:strRef>
          </c:cat>
          <c:val>
            <c:numRef>
              <c:f>Dashboard!$K$40:$K$50</c:f>
              <c:numCache>
                <c:formatCode>General</c:formatCode>
                <c:ptCount val="10"/>
                <c:pt idx="0">
                  <c:v>441</c:v>
                </c:pt>
                <c:pt idx="1">
                  <c:v>466</c:v>
                </c:pt>
                <c:pt idx="2">
                  <c:v>425</c:v>
                </c:pt>
                <c:pt idx="3">
                  <c:v>439</c:v>
                </c:pt>
                <c:pt idx="4">
                  <c:v>661</c:v>
                </c:pt>
                <c:pt idx="5">
                  <c:v>457</c:v>
                </c:pt>
                <c:pt idx="6">
                  <c:v>433</c:v>
                </c:pt>
                <c:pt idx="7">
                  <c:v>453</c:v>
                </c:pt>
                <c:pt idx="8">
                  <c:v>423</c:v>
                </c:pt>
                <c:pt idx="9">
                  <c:v>441</c:v>
                </c:pt>
              </c:numCache>
            </c:numRef>
          </c:val>
          <c:extLst>
            <c:ext xmlns:c16="http://schemas.microsoft.com/office/drawing/2014/chart" uri="{C3380CC4-5D6E-409C-BE32-E72D297353CC}">
              <c16:uniqueId val="{00000000-4B75-4774-A565-973C39A6D528}"/>
            </c:ext>
          </c:extLst>
        </c:ser>
        <c:dLbls>
          <c:dLblPos val="outEnd"/>
          <c:showLegendKey val="0"/>
          <c:showVal val="1"/>
          <c:showCatName val="0"/>
          <c:showSerName val="0"/>
          <c:showPercent val="0"/>
          <c:showBubbleSize val="0"/>
        </c:dLbls>
        <c:gapWidth val="219"/>
        <c:overlap val="-27"/>
        <c:axId val="930624768"/>
        <c:axId val="930641568"/>
      </c:barChart>
      <c:catAx>
        <c:axId val="930624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41568"/>
        <c:crosses val="autoZero"/>
        <c:auto val="1"/>
        <c:lblAlgn val="ctr"/>
        <c:lblOffset val="100"/>
        <c:noMultiLvlLbl val="0"/>
      </c:catAx>
      <c:valAx>
        <c:axId val="9306415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24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[DATA-SET.xlsx]Dashboard!PivotTable1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624890638670165"/>
          <c:y val="0.13057671381936889"/>
          <c:w val="0.38724562554680664"/>
          <c:h val="0.78150917207166293"/>
        </c:manualLayout>
      </c:layout>
      <c:barChart>
        <c:barDir val="bar"/>
        <c:grouping val="clustered"/>
        <c:varyColors val="0"/>
        <c:ser>
          <c:idx val="0"/>
          <c:order val="0"/>
          <c:tx>
            <c:strRef>
              <c:f>Dashboard!$B$34</c:f>
              <c:strCache>
                <c:ptCount val="1"/>
                <c:pt idx="0">
                  <c:v>Sum of REVENUE</c:v>
                </c:pt>
              </c:strCache>
            </c:strRef>
          </c:tx>
          <c:spPr>
            <a:solidFill>
              <a:schemeClr val="accent1"/>
            </a:solidFill>
            <a:ln>
              <a:noFill/>
            </a:ln>
            <a:effectLst/>
          </c:spPr>
          <c:invertIfNegative val="0"/>
          <c:cat>
            <c:strRef>
              <c:f>Dashboard!$A$35:$A$45</c:f>
              <c:strCache>
                <c:ptCount val="10"/>
                <c:pt idx="0">
                  <c:v>Bournvita</c:v>
                </c:pt>
                <c:pt idx="1">
                  <c:v>Chivita Juice</c:v>
                </c:pt>
                <c:pt idx="2">
                  <c:v>Chocomilo</c:v>
                </c:pt>
                <c:pt idx="3">
                  <c:v>Dangote Sugar</c:v>
                </c:pt>
                <c:pt idx="4">
                  <c:v>Golden Morn</c:v>
                </c:pt>
                <c:pt idx="5">
                  <c:v>Knorr Cubes</c:v>
                </c:pt>
                <c:pt idx="6">
                  <c:v>Lucozade</c:v>
                </c:pt>
                <c:pt idx="7">
                  <c:v>Maltina</c:v>
                </c:pt>
                <c:pt idx="8">
                  <c:v>Milo</c:v>
                </c:pt>
                <c:pt idx="9">
                  <c:v>Peak 456 Growing Up Milk</c:v>
                </c:pt>
              </c:strCache>
            </c:strRef>
          </c:cat>
          <c:val>
            <c:numRef>
              <c:f>Dashboard!$B$35:$B$45</c:f>
              <c:numCache>
                <c:formatCode>General</c:formatCode>
                <c:ptCount val="10"/>
                <c:pt idx="0">
                  <c:v>84238</c:v>
                </c:pt>
                <c:pt idx="1">
                  <c:v>80059</c:v>
                </c:pt>
                <c:pt idx="2">
                  <c:v>79739</c:v>
                </c:pt>
                <c:pt idx="3">
                  <c:v>83145</c:v>
                </c:pt>
                <c:pt idx="4">
                  <c:v>117488</c:v>
                </c:pt>
                <c:pt idx="5">
                  <c:v>81203</c:v>
                </c:pt>
                <c:pt idx="6">
                  <c:v>81164</c:v>
                </c:pt>
                <c:pt idx="7">
                  <c:v>85167</c:v>
                </c:pt>
                <c:pt idx="8">
                  <c:v>80595</c:v>
                </c:pt>
                <c:pt idx="9">
                  <c:v>79800</c:v>
                </c:pt>
              </c:numCache>
            </c:numRef>
          </c:val>
          <c:extLst>
            <c:ext xmlns:c16="http://schemas.microsoft.com/office/drawing/2014/chart" uri="{C3380CC4-5D6E-409C-BE32-E72D297353CC}">
              <c16:uniqueId val="{00000000-80E4-4F76-9D73-A283A608D79D}"/>
            </c:ext>
          </c:extLst>
        </c:ser>
        <c:ser>
          <c:idx val="1"/>
          <c:order val="1"/>
          <c:tx>
            <c:strRef>
              <c:f>Dashboard!$C$34</c:f>
              <c:strCache>
                <c:ptCount val="1"/>
                <c:pt idx="0">
                  <c:v>Sum of PROFIT</c:v>
                </c:pt>
              </c:strCache>
            </c:strRef>
          </c:tx>
          <c:spPr>
            <a:solidFill>
              <a:schemeClr val="accent2"/>
            </a:solidFill>
            <a:ln>
              <a:noFill/>
            </a:ln>
            <a:effectLst/>
          </c:spPr>
          <c:invertIfNegative val="0"/>
          <c:cat>
            <c:strRef>
              <c:f>Dashboard!$A$35:$A$45</c:f>
              <c:strCache>
                <c:ptCount val="10"/>
                <c:pt idx="0">
                  <c:v>Bournvita</c:v>
                </c:pt>
                <c:pt idx="1">
                  <c:v>Chivita Juice</c:v>
                </c:pt>
                <c:pt idx="2">
                  <c:v>Chocomilo</c:v>
                </c:pt>
                <c:pt idx="3">
                  <c:v>Dangote Sugar</c:v>
                </c:pt>
                <c:pt idx="4">
                  <c:v>Golden Morn</c:v>
                </c:pt>
                <c:pt idx="5">
                  <c:v>Knorr Cubes</c:v>
                </c:pt>
                <c:pt idx="6">
                  <c:v>Lucozade</c:v>
                </c:pt>
                <c:pt idx="7">
                  <c:v>Maltina</c:v>
                </c:pt>
                <c:pt idx="8">
                  <c:v>Milo</c:v>
                </c:pt>
                <c:pt idx="9">
                  <c:v>Peak 456 Growing Up Milk</c:v>
                </c:pt>
              </c:strCache>
            </c:strRef>
          </c:cat>
          <c:val>
            <c:numRef>
              <c:f>Dashboard!$C$35:$C$45</c:f>
              <c:numCache>
                <c:formatCode>General</c:formatCode>
                <c:ptCount val="10"/>
                <c:pt idx="0">
                  <c:v>45202</c:v>
                </c:pt>
                <c:pt idx="1">
                  <c:v>40934</c:v>
                </c:pt>
                <c:pt idx="2">
                  <c:v>41225</c:v>
                </c:pt>
                <c:pt idx="3">
                  <c:v>42583</c:v>
                </c:pt>
                <c:pt idx="4">
                  <c:v>64117</c:v>
                </c:pt>
                <c:pt idx="5">
                  <c:v>44329</c:v>
                </c:pt>
                <c:pt idx="6">
                  <c:v>42001</c:v>
                </c:pt>
                <c:pt idx="7">
                  <c:v>43941</c:v>
                </c:pt>
                <c:pt idx="8">
                  <c:v>41031</c:v>
                </c:pt>
                <c:pt idx="9">
                  <c:v>42777</c:v>
                </c:pt>
              </c:numCache>
            </c:numRef>
          </c:val>
          <c:extLst>
            <c:ext xmlns:c16="http://schemas.microsoft.com/office/drawing/2014/chart" uri="{C3380CC4-5D6E-409C-BE32-E72D297353CC}">
              <c16:uniqueId val="{00000001-80E4-4F76-9D73-A283A608D79D}"/>
            </c:ext>
          </c:extLst>
        </c:ser>
        <c:dLbls>
          <c:showLegendKey val="0"/>
          <c:showVal val="0"/>
          <c:showCatName val="0"/>
          <c:showSerName val="0"/>
          <c:showPercent val="0"/>
          <c:showBubbleSize val="0"/>
        </c:dLbls>
        <c:gapWidth val="182"/>
        <c:axId val="249010128"/>
        <c:axId val="249012048"/>
      </c:barChart>
      <c:catAx>
        <c:axId val="249010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249012048"/>
        <c:crosses val="autoZero"/>
        <c:auto val="1"/>
        <c:lblAlgn val="ctr"/>
        <c:lblOffset val="100"/>
        <c:noMultiLvlLbl val="0"/>
      </c:catAx>
      <c:valAx>
        <c:axId val="249012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249010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accent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337984</xdr:colOff>
      <xdr:row>4</xdr:row>
      <xdr:rowOff>165100</xdr:rowOff>
    </xdr:from>
    <xdr:to>
      <xdr:col>9</xdr:col>
      <xdr:colOff>839839</xdr:colOff>
      <xdr:row>19</xdr:row>
      <xdr:rowOff>184150</xdr:rowOff>
    </xdr:to>
    <xdr:graphicFrame macro="">
      <xdr:nvGraphicFramePr>
        <xdr:cNvPr id="4" name="Chart 3">
          <a:extLst>
            <a:ext uri="{FF2B5EF4-FFF2-40B4-BE49-F238E27FC236}">
              <a16:creationId xmlns:a16="http://schemas.microsoft.com/office/drawing/2014/main" id="{1F104764-E0A6-CC18-C877-DCEA5BDA42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1104900</xdr:colOff>
      <xdr:row>5</xdr:row>
      <xdr:rowOff>44449</xdr:rowOff>
    </xdr:from>
    <xdr:to>
      <xdr:col>14</xdr:col>
      <xdr:colOff>101600</xdr:colOff>
      <xdr:row>19</xdr:row>
      <xdr:rowOff>171450</xdr:rowOff>
    </xdr:to>
    <xdr:graphicFrame macro="">
      <xdr:nvGraphicFramePr>
        <xdr:cNvPr id="5" name="Chart 4">
          <a:extLst>
            <a:ext uri="{FF2B5EF4-FFF2-40B4-BE49-F238E27FC236}">
              <a16:creationId xmlns:a16="http://schemas.microsoft.com/office/drawing/2014/main" id="{6AA17DA6-6B50-80FF-A8E3-1C685BECC1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608895</xdr:colOff>
      <xdr:row>20</xdr:row>
      <xdr:rowOff>183445</xdr:rowOff>
    </xdr:from>
    <xdr:to>
      <xdr:col>1</xdr:col>
      <xdr:colOff>85373</xdr:colOff>
      <xdr:row>21</xdr:row>
      <xdr:rowOff>359128</xdr:rowOff>
    </xdr:to>
    <xdr:sp macro="" textlink="">
      <xdr:nvSpPr>
        <xdr:cNvPr id="6" name="Rectangle 5">
          <a:extLst>
            <a:ext uri="{FF2B5EF4-FFF2-40B4-BE49-F238E27FC236}">
              <a16:creationId xmlns:a16="http://schemas.microsoft.com/office/drawing/2014/main" id="{F1E377D4-1595-EA9D-7C43-04C05B4999A1}"/>
            </a:ext>
          </a:extLst>
        </xdr:cNvPr>
        <xdr:cNvSpPr/>
      </xdr:nvSpPr>
      <xdr:spPr>
        <a:xfrm>
          <a:off x="608895" y="4176889"/>
          <a:ext cx="1536700" cy="373239"/>
        </a:xfrm>
        <a:prstGeom prst="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1">
              <a:solidFill>
                <a:schemeClr val="bg1"/>
              </a:solidFill>
            </a:rPr>
            <a:t>TOTAL</a:t>
          </a:r>
          <a:r>
            <a:rPr lang="en-GB" sz="1400" b="1" baseline="0">
              <a:solidFill>
                <a:schemeClr val="tx1"/>
              </a:solidFill>
            </a:rPr>
            <a:t> </a:t>
          </a:r>
          <a:r>
            <a:rPr lang="en-GB" sz="1400" b="1" baseline="0">
              <a:solidFill>
                <a:schemeClr val="bg1"/>
              </a:solidFill>
            </a:rPr>
            <a:t>REVENUE</a:t>
          </a:r>
          <a:endParaRPr lang="en-GB" sz="1400" b="1">
            <a:solidFill>
              <a:schemeClr val="bg1"/>
            </a:solidFill>
          </a:endParaRPr>
        </a:p>
      </xdr:txBody>
    </xdr:sp>
    <xdr:clientData/>
  </xdr:twoCellAnchor>
  <xdr:twoCellAnchor>
    <xdr:from>
      <xdr:col>5</xdr:col>
      <xdr:colOff>312174</xdr:colOff>
      <xdr:row>20</xdr:row>
      <xdr:rowOff>194392</xdr:rowOff>
    </xdr:from>
    <xdr:to>
      <xdr:col>7</xdr:col>
      <xdr:colOff>7374</xdr:colOff>
      <xdr:row>22</xdr:row>
      <xdr:rowOff>35642</xdr:rowOff>
    </xdr:to>
    <xdr:sp macro="" textlink="">
      <xdr:nvSpPr>
        <xdr:cNvPr id="7" name="Rectangle 6">
          <a:extLst>
            <a:ext uri="{FF2B5EF4-FFF2-40B4-BE49-F238E27FC236}">
              <a16:creationId xmlns:a16="http://schemas.microsoft.com/office/drawing/2014/main" id="{414CDD01-5D9E-DEEE-8FD7-03FC699B9968}"/>
            </a:ext>
          </a:extLst>
        </xdr:cNvPr>
        <xdr:cNvSpPr/>
      </xdr:nvSpPr>
      <xdr:spPr>
        <a:xfrm>
          <a:off x="5474109" y="4127295"/>
          <a:ext cx="1774313" cy="394315"/>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000" b="1"/>
            <a:t>TOTAL PROFIT</a:t>
          </a:r>
        </a:p>
      </xdr:txBody>
    </xdr:sp>
    <xdr:clientData/>
  </xdr:twoCellAnchor>
  <xdr:twoCellAnchor>
    <xdr:from>
      <xdr:col>9</xdr:col>
      <xdr:colOff>1333500</xdr:colOff>
      <xdr:row>21</xdr:row>
      <xdr:rowOff>0</xdr:rowOff>
    </xdr:from>
    <xdr:to>
      <xdr:col>11</xdr:col>
      <xdr:colOff>6350</xdr:colOff>
      <xdr:row>22</xdr:row>
      <xdr:rowOff>19050</xdr:rowOff>
    </xdr:to>
    <xdr:sp macro="" textlink="">
      <xdr:nvSpPr>
        <xdr:cNvPr id="8" name="Rectangle 7">
          <a:extLst>
            <a:ext uri="{FF2B5EF4-FFF2-40B4-BE49-F238E27FC236}">
              <a16:creationId xmlns:a16="http://schemas.microsoft.com/office/drawing/2014/main" id="{4DB51D17-879F-AECD-C0C2-ED5A4F0B28BA}"/>
            </a:ext>
          </a:extLst>
        </xdr:cNvPr>
        <xdr:cNvSpPr/>
      </xdr:nvSpPr>
      <xdr:spPr>
        <a:xfrm>
          <a:off x="10293350" y="4171950"/>
          <a:ext cx="2012950" cy="381000"/>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000">
              <a:solidFill>
                <a:schemeClr val="bg1"/>
              </a:solidFill>
            </a:rPr>
            <a:t>UNIT PRODUCED</a:t>
          </a:r>
        </a:p>
      </xdr:txBody>
    </xdr:sp>
    <xdr:clientData/>
  </xdr:twoCellAnchor>
  <xdr:twoCellAnchor>
    <xdr:from>
      <xdr:col>0</xdr:col>
      <xdr:colOff>146050</xdr:colOff>
      <xdr:row>4</xdr:row>
      <xdr:rowOff>171450</xdr:rowOff>
    </xdr:from>
    <xdr:to>
      <xdr:col>4</xdr:col>
      <xdr:colOff>196850</xdr:colOff>
      <xdr:row>19</xdr:row>
      <xdr:rowOff>136525</xdr:rowOff>
    </xdr:to>
    <xdr:graphicFrame macro="">
      <xdr:nvGraphicFramePr>
        <xdr:cNvPr id="2" name="Chart 1">
          <a:extLst>
            <a:ext uri="{FF2B5EF4-FFF2-40B4-BE49-F238E27FC236}">
              <a16:creationId xmlns:a16="http://schemas.microsoft.com/office/drawing/2014/main" id="{90FB79BA-46DE-14FE-5056-B127274192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882650</xdr:colOff>
      <xdr:row>5</xdr:row>
      <xdr:rowOff>38100</xdr:rowOff>
    </xdr:from>
    <xdr:ext cx="3333750" cy="234950"/>
    <xdr:sp macro="" textlink="">
      <xdr:nvSpPr>
        <xdr:cNvPr id="10" name="TextBox 9">
          <a:extLst>
            <a:ext uri="{FF2B5EF4-FFF2-40B4-BE49-F238E27FC236}">
              <a16:creationId xmlns:a16="http://schemas.microsoft.com/office/drawing/2014/main" id="{F1D6DF90-B1FD-3E2A-5F3F-83D7BC84AC42}"/>
            </a:ext>
          </a:extLst>
        </xdr:cNvPr>
        <xdr:cNvSpPr txBox="1"/>
      </xdr:nvSpPr>
      <xdr:spPr>
        <a:xfrm>
          <a:off x="882650" y="1060450"/>
          <a:ext cx="3333750" cy="23495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100" b="1">
              <a:solidFill>
                <a:schemeClr val="accent1"/>
              </a:solidFill>
            </a:rPr>
            <a:t>TOP 10 PRODUCT  BY REVENUE AND PROFIT</a:t>
          </a:r>
        </a:p>
      </xdr:txBody>
    </xdr:sp>
    <xdr:clientData/>
  </xdr:oneCellAnchor>
  <xdr:twoCellAnchor editAs="oneCell">
    <xdr:from>
      <xdr:col>14</xdr:col>
      <xdr:colOff>606756</xdr:colOff>
      <xdr:row>5</xdr:row>
      <xdr:rowOff>8058</xdr:rowOff>
    </xdr:from>
    <xdr:to>
      <xdr:col>17</xdr:col>
      <xdr:colOff>469104</xdr:colOff>
      <xdr:row>21</xdr:row>
      <xdr:rowOff>202337</xdr:rowOff>
    </xdr:to>
    <mc:AlternateContent xmlns:mc="http://schemas.openxmlformats.org/markup-compatibility/2006" xmlns:a14="http://schemas.microsoft.com/office/drawing/2010/main">
      <mc:Choice Requires="a14">
        <xdr:graphicFrame macro="">
          <xdr:nvGraphicFramePr>
            <xdr:cNvPr id="3" name="DATE">
              <a:extLst>
                <a:ext uri="{FF2B5EF4-FFF2-40B4-BE49-F238E27FC236}">
                  <a16:creationId xmlns:a16="http://schemas.microsoft.com/office/drawing/2014/main" id="{A0D421A0-0615-618D-881A-FE48014C5DEA}"/>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20164756" y="1038169"/>
              <a:ext cx="1852015" cy="335516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0.35836</cdr:x>
      <cdr:y>0.02449</cdr:y>
    </cdr:from>
    <cdr:to>
      <cdr:x>0.81058</cdr:x>
      <cdr:y>0.10117</cdr:y>
    </cdr:to>
    <cdr:sp macro="" textlink="">
      <cdr:nvSpPr>
        <cdr:cNvPr id="3" name="TextBox 2">
          <a:extLst xmlns:a="http://schemas.openxmlformats.org/drawingml/2006/main">
            <a:ext uri="{FF2B5EF4-FFF2-40B4-BE49-F238E27FC236}">
              <a16:creationId xmlns:a16="http://schemas.microsoft.com/office/drawing/2014/main" id="{7B112850-CF33-38E5-3D97-1A26C3679D0E}"/>
            </a:ext>
          </a:extLst>
        </cdr:cNvPr>
        <cdr:cNvSpPr txBox="1"/>
      </cdr:nvSpPr>
      <cdr:spPr>
        <a:xfrm xmlns:a="http://schemas.openxmlformats.org/drawingml/2006/main">
          <a:off x="1333500" y="73025"/>
          <a:ext cx="1682750" cy="2286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GB" sz="1100" kern="1200"/>
        </a:p>
      </cdr:txBody>
    </cdr:sp>
  </cdr:relSizeAnchor>
  <cdr:relSizeAnchor xmlns:cdr="http://schemas.openxmlformats.org/drawingml/2006/chartDrawing">
    <cdr:from>
      <cdr:x>0.54437</cdr:x>
      <cdr:y>0.02449</cdr:y>
    </cdr:from>
    <cdr:to>
      <cdr:x>0.94881</cdr:x>
      <cdr:y>0.11182</cdr:y>
    </cdr:to>
    <cdr:sp macro="" textlink="">
      <cdr:nvSpPr>
        <cdr:cNvPr id="4" name="TextBox 3">
          <a:extLst xmlns:a="http://schemas.openxmlformats.org/drawingml/2006/main">
            <a:ext uri="{FF2B5EF4-FFF2-40B4-BE49-F238E27FC236}">
              <a16:creationId xmlns:a16="http://schemas.microsoft.com/office/drawing/2014/main" id="{0F32C146-07DF-5242-10E3-D2222BC4CDDB}"/>
            </a:ext>
          </a:extLst>
        </cdr:cNvPr>
        <cdr:cNvSpPr txBox="1"/>
      </cdr:nvSpPr>
      <cdr:spPr>
        <a:xfrm xmlns:a="http://schemas.openxmlformats.org/drawingml/2006/main">
          <a:off x="2025650" y="73025"/>
          <a:ext cx="1504950" cy="2603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GB" sz="1100" kern="1200"/>
        </a:p>
      </cdr:txBody>
    </cdr:sp>
  </cdr:relSizeAnchor>
  <cdr:relSizeAnchor xmlns:cdr="http://schemas.openxmlformats.org/drawingml/2006/chartDrawing">
    <cdr:from>
      <cdr:x>0.29112</cdr:x>
      <cdr:y>0</cdr:y>
    </cdr:from>
    <cdr:to>
      <cdr:x>0.72969</cdr:x>
      <cdr:y>0.09372</cdr:y>
    </cdr:to>
    <cdr:sp macro="" textlink="">
      <cdr:nvSpPr>
        <cdr:cNvPr id="5" name="TextBox 4">
          <a:extLst xmlns:a="http://schemas.openxmlformats.org/drawingml/2006/main">
            <a:ext uri="{FF2B5EF4-FFF2-40B4-BE49-F238E27FC236}">
              <a16:creationId xmlns:a16="http://schemas.microsoft.com/office/drawing/2014/main" id="{5590C589-79FE-C4A6-2F3E-D40D03DE09FF}"/>
            </a:ext>
          </a:extLst>
        </cdr:cNvPr>
        <cdr:cNvSpPr txBox="1"/>
      </cdr:nvSpPr>
      <cdr:spPr>
        <a:xfrm xmlns:a="http://schemas.openxmlformats.org/drawingml/2006/main">
          <a:off x="1240409" y="0"/>
          <a:ext cx="1868681" cy="27851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GB" sz="1100" b="1" kern="1200">
              <a:solidFill>
                <a:schemeClr val="accent1"/>
              </a:solidFill>
            </a:rPr>
            <a:t>MONTHY REVENUE TREND</a:t>
          </a:r>
        </a:p>
        <a:p xmlns:a="http://schemas.openxmlformats.org/drawingml/2006/main">
          <a:endParaRPr lang="en-GB" sz="1100" kern="1200"/>
        </a:p>
      </cdr:txBody>
    </cdr:sp>
  </cdr:relSizeAnchor>
</c:userShapes>
</file>

<file path=xl/drawings/drawing3.xml><?xml version="1.0" encoding="utf-8"?>
<c:userShapes xmlns:c="http://schemas.openxmlformats.org/drawingml/2006/chart">
  <cdr:relSizeAnchor xmlns:cdr="http://schemas.openxmlformats.org/drawingml/2006/chartDrawing">
    <cdr:from>
      <cdr:x>0.55172</cdr:x>
      <cdr:y>0.02643</cdr:y>
    </cdr:from>
    <cdr:to>
      <cdr:x>0.97022</cdr:x>
      <cdr:y>0.15419</cdr:y>
    </cdr:to>
    <cdr:sp macro="" textlink="">
      <cdr:nvSpPr>
        <cdr:cNvPr id="2" name="TextBox 1">
          <a:extLst xmlns:a="http://schemas.openxmlformats.org/drawingml/2006/main">
            <a:ext uri="{FF2B5EF4-FFF2-40B4-BE49-F238E27FC236}">
              <a16:creationId xmlns:a16="http://schemas.microsoft.com/office/drawing/2014/main" id="{C08F1946-002B-14FD-E606-E0E1DE0869CA}"/>
            </a:ext>
          </a:extLst>
        </cdr:cNvPr>
        <cdr:cNvSpPr txBox="1"/>
      </cdr:nvSpPr>
      <cdr:spPr>
        <a:xfrm xmlns:a="http://schemas.openxmlformats.org/drawingml/2006/main">
          <a:off x="2168618" y="76195"/>
          <a:ext cx="1644977" cy="3683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GB" sz="1100" b="1" kern="1200">
              <a:solidFill>
                <a:schemeClr val="accent1"/>
              </a:solidFill>
            </a:rPr>
            <a:t>TOP 10 PRODUCT PRODUCED </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name" refreshedDate="46155.537206018518" createdVersion="8" refreshedVersion="8" minRefreshableVersion="3" recordCount="150" xr:uid="{846F7420-4134-4E29-A953-BA7ADEB90822}">
  <cacheSource type="worksheet">
    <worksheetSource name="Table1"/>
  </cacheSource>
  <cacheFields count="11">
    <cacheField name="S/N" numFmtId="0">
      <sharedItems containsSemiMixedTypes="0" containsString="0" containsNumber="1" containsInteger="1" minValue="1" maxValue="150"/>
    </cacheField>
    <cacheField name="DATE" numFmtId="14">
      <sharedItems containsSemiMixedTypes="0" containsNonDate="0" containsDate="1" containsString="0" minDate="2023-10-01T00:00:00" maxDate="2024-02-25T00:00:00" count="81">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sharedItems>
      <fieldGroup par="10"/>
    </cacheField>
    <cacheField name="PRODUCT" numFmtId="0">
      <sharedItems count="116">
        <s v="Dangote Sugar"/>
        <s v="Golden Penny Flour"/>
        <s v="Mama Gold Rice"/>
        <s v="Indomie Noodles"/>
        <s v="Peak Milk"/>
        <s v="Power Oil"/>
        <s v="Kings Vegetable Oil"/>
        <s v="Blue Band Margarine"/>
        <s v="Milo"/>
        <s v="Bournvita"/>
        <s v="Peak Chocolate"/>
        <s v="Peak 456 Growing Up Milk"/>
        <s v="Cowbell Milk"/>
        <s v="Chocomilo"/>
        <s v="Geisha Mackerel"/>
        <s v="Titus Sardines"/>
        <s v="Maggi Seasoning"/>
        <s v="Gino Tomato Paste"/>
        <s v="Golden Morn"/>
        <s v="Onga Seasoning"/>
        <s v="Knorr Cubes"/>
        <s v="Lipton Tea"/>
        <s v="Nasco Cornflakes"/>
        <s v="Nestle Water"/>
        <s v="La Casera"/>
        <s v="Lucozade"/>
        <s v="Maltina"/>
        <s v="Ribena"/>
        <s v="Chivita Juice"/>
        <s v="Bigi Cola"/>
        <s v="Pepsi"/>
        <s v="Sprite"/>
        <s v="Fanta"/>
        <s v="Coca-Cola"/>
        <s v="Fayrouz"/>
        <s v="Amstel Malta"/>
        <s v="Hollandia Yoghurt"/>
        <s v="Dano Milk"/>
        <s v="Peak Yoghurt"/>
        <s v="Superbite Chips"/>
        <s v="Mr. Bigg's Meat Pie"/>
        <s v="Digestive Biscuits"/>
        <s v="Dangote Salt"/>
        <s v="Royal Umbrella Rice"/>
        <s v="Kunu Drink"/>
        <s v="Tiger Nuts"/>
        <s v="African Salad (Abacha)"/>
        <s v="Garri"/>
        <s v="Semovita"/>
        <s v="Indomie Bellefull"/>
        <s v="Golden Penny Semovita"/>
        <s v="Honeywell Wheatmeal"/>
        <s v="Okomu Oil Palm Oil"/>
        <s v="Golden Penny Semolina"/>
        <s v="Honeywell Semolina"/>
        <s v="Mama's Pride Rice"/>
        <s v="Nigerian Parboiled Rice"/>
        <s v="Honeywell Noodles"/>
        <s v="Minimie Chinchin"/>
        <s v="Superbite Plantain Chips"/>
        <s v="Kpomo (Cow Skin)"/>
        <s v="Dried Fish"/>
        <s v="Stockfish"/>
        <s v="Bonga Fish"/>
        <s v="Bama Mayonnaise"/>
        <s v="Pure Bliss Biscuits"/>
        <s v="Golden Penny Pasta"/>
        <s v="Power Pasta"/>
        <s v="Mama's Pride Beans"/>
        <s v="Golden Penny Beans"/>
        <s v="Ovaltine"/>
        <s v="Milo Energy Cubes"/>
        <s v="Koko Krunch"/>
        <s v="Champion Cornflakes"/>
        <s v="Golden Penny Oil"/>
        <s v="Delta Soap"/>
        <s v="Premier Toilet Tissue"/>
        <s v="Dettol Antiseptic"/>
        <s v="Morning Fresh Dishwashing Liquid"/>
        <s v="Ariel Detergent"/>
        <s v="Sunlight Soap"/>
        <s v="Venus Razor Blades"/>
        <s v="Vaseline Petroleum Jelly"/>
        <s v="Peak Chocolate Spread"/>
        <s v="Chivita Active Juice"/>
        <s v="Devon King's Cooking Oil"/>
        <s v="Mr. Chef Seasoning"/>
        <s v="Tiger Seasoning"/>
        <s v="Thousand Island Dressing"/>
        <s v="Dano Cool Cow Milk"/>
        <s v="Waw Drinking Water"/>
        <s v="PZ Cussons Baby Products"/>
        <s v="Dufil Prima Foods Products"/>
        <s v="Blue Boat Fresh Fish"/>
        <s v="Bigi Soft Drinks"/>
        <s v="Zobo Leaves"/>
        <s v="Egusi"/>
        <s v="Efo Riro Vegetables"/>
        <s v="Dried Ugu Leaves"/>
        <s v="Pepper Soup Spices"/>
        <s v="Nigerian Yam"/>
        <s v="Plantains"/>
        <s v="Pounded Yam Flour"/>
        <s v="Egusi Soup Ingredients"/>
        <s v="Ogbono Soup Ingredients"/>
        <s v="Groundnut Oil"/>
        <s v="Onions"/>
        <s v="Tomatoes"/>
        <s v="Nigerian Spices"/>
        <s v="Bottled Palm Wine"/>
        <s v="Kilishi (Dried Meat)"/>
        <s v="Suya Spices"/>
        <s v="Nigerian Snacks (Chin Chin"/>
        <s v="Local Snacks (Kuli Kuli"/>
        <s v="Local Herbs and Remedies"/>
        <s v="Nigerian Sweets and Candies"/>
      </sharedItems>
    </cacheField>
    <cacheField name="UNIT PRODUCED" numFmtId="0">
      <sharedItems containsSemiMixedTypes="0" containsString="0" containsNumber="1" containsInteger="1" minValue="181" maxValue="239"/>
    </cacheField>
    <cacheField name="UNIT COST" numFmtId="0">
      <sharedItems containsSemiMixedTypes="0" containsString="0" containsNumber="1" containsInteger="1" minValue="70" maxValue="100"/>
    </cacheField>
    <cacheField name="SALES PRICE" numFmtId="0">
      <sharedItems containsSemiMixedTypes="0" containsString="0" containsNumber="1" containsInteger="1" minValue="167" maxValue="197"/>
    </cacheField>
    <cacheField name="REVENUE" numFmtId="0">
      <sharedItems containsSemiMixedTypes="0" containsString="0" containsNumber="1" containsInteger="1" minValue="30227" maxValue="46492"/>
    </cacheField>
    <cacheField name="PROFIT" numFmtId="0">
      <sharedItems containsSemiMixedTypes="0" containsString="0" containsNumber="1" containsInteger="1" minValue="17557" maxValue="23183"/>
    </cacheField>
    <cacheField name="Months (DATE)" numFmtId="0" databaseField="0">
      <fieldGroup base="1">
        <rangePr groupBy="months" startDate="2023-10-01T00:00:00" endDate="2024-02-25T00:00:00"/>
        <groupItems count="14">
          <s v="&lt;01/10/2023"/>
          <s v="Jan"/>
          <s v="Feb"/>
          <s v="Mar"/>
          <s v="Apr"/>
          <s v="May"/>
          <s v="Jun"/>
          <s v="Jul"/>
          <s v="Aug"/>
          <s v="Sep"/>
          <s v="Oct"/>
          <s v="Nov"/>
          <s v="Dec"/>
          <s v="&gt;25/02/2024"/>
        </groupItems>
      </fieldGroup>
    </cacheField>
    <cacheField name="Quarters (DATE)" numFmtId="0" databaseField="0">
      <fieldGroup base="1">
        <rangePr groupBy="quarters" startDate="2023-10-01T00:00:00" endDate="2024-02-25T00:00:00"/>
        <groupItems count="6">
          <s v="&lt;01/10/2023"/>
          <s v="Qtr1"/>
          <s v="Qtr2"/>
          <s v="Qtr3"/>
          <s v="Qtr4"/>
          <s v="&gt;25/02/2024"/>
        </groupItems>
      </fieldGroup>
    </cacheField>
    <cacheField name="Years (DATE)" numFmtId="0" databaseField="0">
      <fieldGroup base="1">
        <rangePr groupBy="years" startDate="2023-10-01T00:00:00" endDate="2024-02-25T00:00:00"/>
        <groupItems count="4">
          <s v="&lt;01/10/2023"/>
          <s v="2023"/>
          <s v="2024"/>
          <s v="&gt;25/02/2024"/>
        </groupItems>
      </fieldGroup>
    </cacheField>
  </cacheFields>
  <extLst>
    <ext xmlns:x14="http://schemas.microsoft.com/office/spreadsheetml/2009/9/main" uri="{725AE2AE-9491-48be-B2B4-4EB974FC3084}">
      <x14:pivotCacheDefinition pivotCacheId="15500040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n v="1"/>
    <x v="0"/>
    <x v="0"/>
    <n v="205"/>
    <n v="86"/>
    <n v="183"/>
    <n v="37515"/>
    <n v="19885"/>
  </r>
  <r>
    <n v="2"/>
    <x v="1"/>
    <x v="1"/>
    <n v="190"/>
    <n v="93"/>
    <n v="190"/>
    <n v="36100"/>
    <n v="18430"/>
  </r>
  <r>
    <n v="3"/>
    <x v="2"/>
    <x v="2"/>
    <n v="231"/>
    <n v="85"/>
    <n v="182"/>
    <n v="42042"/>
    <n v="22407"/>
  </r>
  <r>
    <n v="4"/>
    <x v="3"/>
    <x v="3"/>
    <n v="202"/>
    <n v="72"/>
    <n v="169"/>
    <n v="34138"/>
    <n v="19594"/>
  </r>
  <r>
    <n v="5"/>
    <x v="4"/>
    <x v="4"/>
    <n v="203"/>
    <n v="96"/>
    <n v="193"/>
    <n v="39179"/>
    <n v="19691"/>
  </r>
  <r>
    <n v="6"/>
    <x v="5"/>
    <x v="5"/>
    <n v="224"/>
    <n v="74"/>
    <n v="171"/>
    <n v="38304"/>
    <n v="21728"/>
  </r>
  <r>
    <n v="7"/>
    <x v="6"/>
    <x v="6"/>
    <n v="181"/>
    <n v="89"/>
    <n v="186"/>
    <n v="33666"/>
    <n v="17557"/>
  </r>
  <r>
    <n v="8"/>
    <x v="7"/>
    <x v="7"/>
    <n v="188"/>
    <n v="77"/>
    <n v="174"/>
    <n v="32712"/>
    <n v="18236"/>
  </r>
  <r>
    <n v="9"/>
    <x v="8"/>
    <x v="8"/>
    <n v="213"/>
    <n v="98"/>
    <n v="195"/>
    <n v="41535"/>
    <n v="20661"/>
  </r>
  <r>
    <n v="10"/>
    <x v="9"/>
    <x v="9"/>
    <n v="228"/>
    <n v="71"/>
    <n v="168"/>
    <n v="38304"/>
    <n v="22116"/>
  </r>
  <r>
    <n v="11"/>
    <x v="10"/>
    <x v="10"/>
    <n v="220"/>
    <n v="81"/>
    <n v="178"/>
    <n v="39160"/>
    <n v="21340"/>
  </r>
  <r>
    <n v="12"/>
    <x v="11"/>
    <x v="11"/>
    <n v="209"/>
    <n v="95"/>
    <n v="192"/>
    <n v="40128"/>
    <n v="20273"/>
  </r>
  <r>
    <n v="13"/>
    <x v="12"/>
    <x v="12"/>
    <n v="185"/>
    <n v="73"/>
    <n v="170"/>
    <n v="31450"/>
    <n v="17945"/>
  </r>
  <r>
    <n v="14"/>
    <x v="13"/>
    <x v="13"/>
    <n v="196"/>
    <n v="82"/>
    <n v="179"/>
    <n v="35084"/>
    <n v="19012"/>
  </r>
  <r>
    <n v="15"/>
    <x v="14"/>
    <x v="14"/>
    <n v="183"/>
    <n v="78"/>
    <n v="175"/>
    <n v="32025"/>
    <n v="17751"/>
  </r>
  <r>
    <n v="16"/>
    <x v="15"/>
    <x v="15"/>
    <n v="217"/>
    <n v="88"/>
    <n v="185"/>
    <n v="40145"/>
    <n v="21049"/>
  </r>
  <r>
    <n v="17"/>
    <x v="16"/>
    <x v="16"/>
    <n v="192"/>
    <n v="76"/>
    <n v="173"/>
    <n v="33216"/>
    <n v="18624"/>
  </r>
  <r>
    <n v="18"/>
    <x v="17"/>
    <x v="17"/>
    <n v="212"/>
    <n v="91"/>
    <n v="188"/>
    <n v="39856"/>
    <n v="20564"/>
  </r>
  <r>
    <n v="19"/>
    <x v="18"/>
    <x v="18"/>
    <n v="207"/>
    <n v="84"/>
    <n v="181"/>
    <n v="37467"/>
    <n v="20079"/>
  </r>
  <r>
    <n v="20"/>
    <x v="19"/>
    <x v="19"/>
    <n v="223"/>
    <n v="99"/>
    <n v="196"/>
    <n v="43708"/>
    <n v="21631"/>
  </r>
  <r>
    <n v="21"/>
    <x v="0"/>
    <x v="20"/>
    <n v="222"/>
    <n v="92"/>
    <n v="189"/>
    <n v="41958"/>
    <n v="21534"/>
  </r>
  <r>
    <n v="22"/>
    <x v="1"/>
    <x v="21"/>
    <n v="219"/>
    <n v="97"/>
    <n v="194"/>
    <n v="42486"/>
    <n v="21243"/>
  </r>
  <r>
    <n v="23"/>
    <x v="2"/>
    <x v="22"/>
    <n v="182"/>
    <n v="87"/>
    <n v="184"/>
    <n v="33488"/>
    <n v="17654"/>
  </r>
  <r>
    <n v="24"/>
    <x v="3"/>
    <x v="23"/>
    <n v="196"/>
    <n v="75"/>
    <n v="172"/>
    <n v="33712"/>
    <n v="19012"/>
  </r>
  <r>
    <n v="25"/>
    <x v="4"/>
    <x v="24"/>
    <n v="184"/>
    <n v="70"/>
    <n v="167"/>
    <n v="30728"/>
    <n v="17848"/>
  </r>
  <r>
    <n v="26"/>
    <x v="5"/>
    <x v="25"/>
    <n v="197"/>
    <n v="79"/>
    <n v="176"/>
    <n v="34672"/>
    <n v="19109"/>
  </r>
  <r>
    <n v="27"/>
    <x v="6"/>
    <x v="26"/>
    <n v="227"/>
    <n v="94"/>
    <n v="191"/>
    <n v="43357"/>
    <n v="22019"/>
  </r>
  <r>
    <n v="28"/>
    <x v="7"/>
    <x v="27"/>
    <n v="225"/>
    <n v="83"/>
    <n v="180"/>
    <n v="40500"/>
    <n v="21825"/>
  </r>
  <r>
    <n v="29"/>
    <x v="8"/>
    <x v="28"/>
    <n v="193"/>
    <n v="90"/>
    <n v="187"/>
    <n v="36091"/>
    <n v="18721"/>
  </r>
  <r>
    <n v="30"/>
    <x v="9"/>
    <x v="29"/>
    <n v="230"/>
    <n v="80"/>
    <n v="177"/>
    <n v="40710"/>
    <n v="22310"/>
  </r>
  <r>
    <n v="31"/>
    <x v="10"/>
    <x v="30"/>
    <n v="194"/>
    <n v="100"/>
    <n v="197"/>
    <n v="38218"/>
    <n v="18818"/>
  </r>
  <r>
    <n v="32"/>
    <x v="11"/>
    <x v="31"/>
    <n v="189"/>
    <n v="86"/>
    <n v="183"/>
    <n v="34587"/>
    <n v="18333"/>
  </r>
  <r>
    <n v="33"/>
    <x v="12"/>
    <x v="32"/>
    <n v="201"/>
    <n v="93"/>
    <n v="190"/>
    <n v="38190"/>
    <n v="19497"/>
  </r>
  <r>
    <n v="34"/>
    <x v="13"/>
    <x v="33"/>
    <n v="204"/>
    <n v="85"/>
    <n v="182"/>
    <n v="37128"/>
    <n v="19788"/>
  </r>
  <r>
    <n v="35"/>
    <x v="14"/>
    <x v="34"/>
    <n v="226"/>
    <n v="72"/>
    <n v="169"/>
    <n v="38194"/>
    <n v="21922"/>
  </r>
  <r>
    <n v="36"/>
    <x v="15"/>
    <x v="35"/>
    <n v="235"/>
    <n v="96"/>
    <n v="193"/>
    <n v="45355"/>
    <n v="22795"/>
  </r>
  <r>
    <n v="37"/>
    <x v="16"/>
    <x v="36"/>
    <n v="200"/>
    <n v="74"/>
    <n v="171"/>
    <n v="34200"/>
    <n v="19400"/>
  </r>
  <r>
    <n v="38"/>
    <x v="17"/>
    <x v="37"/>
    <n v="186"/>
    <n v="89"/>
    <n v="186"/>
    <n v="34596"/>
    <n v="18042"/>
  </r>
  <r>
    <n v="39"/>
    <x v="18"/>
    <x v="38"/>
    <n v="198"/>
    <n v="77"/>
    <n v="174"/>
    <n v="34452"/>
    <n v="19206"/>
  </r>
  <r>
    <n v="40"/>
    <x v="19"/>
    <x v="39"/>
    <n v="216"/>
    <n v="98"/>
    <n v="195"/>
    <n v="42120"/>
    <n v="20952"/>
  </r>
  <r>
    <n v="41"/>
    <x v="20"/>
    <x v="40"/>
    <n v="189"/>
    <n v="71"/>
    <n v="168"/>
    <n v="31752"/>
    <n v="18333"/>
  </r>
  <r>
    <n v="42"/>
    <x v="21"/>
    <x v="41"/>
    <n v="232"/>
    <n v="81"/>
    <n v="178"/>
    <n v="41296"/>
    <n v="22504"/>
  </r>
  <r>
    <n v="43"/>
    <x v="22"/>
    <x v="42"/>
    <n v="207"/>
    <n v="95"/>
    <n v="192"/>
    <n v="39744"/>
    <n v="20079"/>
  </r>
  <r>
    <n v="44"/>
    <x v="23"/>
    <x v="43"/>
    <n v="199"/>
    <n v="73"/>
    <n v="170"/>
    <n v="33830"/>
    <n v="19303"/>
  </r>
  <r>
    <n v="45"/>
    <x v="24"/>
    <x v="44"/>
    <n v="238"/>
    <n v="82"/>
    <n v="179"/>
    <n v="42602"/>
    <n v="23086"/>
  </r>
  <r>
    <n v="46"/>
    <x v="25"/>
    <x v="45"/>
    <n v="214"/>
    <n v="78"/>
    <n v="175"/>
    <n v="37450"/>
    <n v="20758"/>
  </r>
  <r>
    <n v="47"/>
    <x v="26"/>
    <x v="46"/>
    <n v="184"/>
    <n v="88"/>
    <n v="185"/>
    <n v="34040"/>
    <n v="17848"/>
  </r>
  <r>
    <n v="48"/>
    <x v="27"/>
    <x v="47"/>
    <n v="233"/>
    <n v="76"/>
    <n v="173"/>
    <n v="40309"/>
    <n v="22601"/>
  </r>
  <r>
    <n v="49"/>
    <x v="28"/>
    <x v="48"/>
    <n v="191"/>
    <n v="91"/>
    <n v="188"/>
    <n v="35908"/>
    <n v="18527"/>
  </r>
  <r>
    <n v="50"/>
    <x v="29"/>
    <x v="49"/>
    <n v="212"/>
    <n v="84"/>
    <n v="181"/>
    <n v="38372"/>
    <n v="20564"/>
  </r>
  <r>
    <n v="51"/>
    <x v="0"/>
    <x v="50"/>
    <n v="208"/>
    <n v="99"/>
    <n v="196"/>
    <n v="40768"/>
    <n v="20176"/>
  </r>
  <r>
    <n v="52"/>
    <x v="1"/>
    <x v="51"/>
    <n v="194"/>
    <n v="92"/>
    <n v="189"/>
    <n v="36666"/>
    <n v="18818"/>
  </r>
  <r>
    <n v="53"/>
    <x v="2"/>
    <x v="52"/>
    <n v="201"/>
    <n v="97"/>
    <n v="194"/>
    <n v="38994"/>
    <n v="19497"/>
  </r>
  <r>
    <n v="54"/>
    <x v="3"/>
    <x v="53"/>
    <n v="223"/>
    <n v="87"/>
    <n v="184"/>
    <n v="41032"/>
    <n v="21631"/>
  </r>
  <r>
    <n v="55"/>
    <x v="4"/>
    <x v="54"/>
    <n v="221"/>
    <n v="75"/>
    <n v="172"/>
    <n v="38012"/>
    <n v="21437"/>
  </r>
  <r>
    <n v="56"/>
    <x v="5"/>
    <x v="55"/>
    <n v="181"/>
    <n v="70"/>
    <n v="167"/>
    <n v="30227"/>
    <n v="17557"/>
  </r>
  <r>
    <n v="57"/>
    <x v="6"/>
    <x v="56"/>
    <n v="197"/>
    <n v="79"/>
    <n v="176"/>
    <n v="34672"/>
    <n v="19109"/>
  </r>
  <r>
    <n v="58"/>
    <x v="7"/>
    <x v="57"/>
    <n v="210"/>
    <n v="94"/>
    <n v="191"/>
    <n v="40110"/>
    <n v="20370"/>
  </r>
  <r>
    <n v="59"/>
    <x v="8"/>
    <x v="58"/>
    <n v="239"/>
    <n v="83"/>
    <n v="180"/>
    <n v="43020"/>
    <n v="23183"/>
  </r>
  <r>
    <n v="60"/>
    <x v="9"/>
    <x v="59"/>
    <n v="185"/>
    <n v="90"/>
    <n v="187"/>
    <n v="34595"/>
    <n v="17945"/>
  </r>
  <r>
    <n v="61"/>
    <x v="10"/>
    <x v="60"/>
    <n v="220"/>
    <n v="80"/>
    <n v="177"/>
    <n v="38940"/>
    <n v="21340"/>
  </r>
  <r>
    <n v="62"/>
    <x v="11"/>
    <x v="61"/>
    <n v="186"/>
    <n v="100"/>
    <n v="197"/>
    <n v="36642"/>
    <n v="18042"/>
  </r>
  <r>
    <n v="63"/>
    <x v="12"/>
    <x v="62"/>
    <n v="206"/>
    <n v="94"/>
    <n v="191"/>
    <n v="39346"/>
    <n v="19982"/>
  </r>
  <r>
    <n v="64"/>
    <x v="13"/>
    <x v="63"/>
    <n v="236"/>
    <n v="78"/>
    <n v="175"/>
    <n v="41300"/>
    <n v="22892"/>
  </r>
  <r>
    <n v="65"/>
    <x v="14"/>
    <x v="64"/>
    <n v="226"/>
    <n v="87"/>
    <n v="184"/>
    <n v="41584"/>
    <n v="21922"/>
  </r>
  <r>
    <n v="66"/>
    <x v="15"/>
    <x v="65"/>
    <n v="183"/>
    <n v="71"/>
    <n v="168"/>
    <n v="30744"/>
    <n v="17751"/>
  </r>
  <r>
    <n v="67"/>
    <x v="16"/>
    <x v="66"/>
    <n v="229"/>
    <n v="83"/>
    <n v="180"/>
    <n v="41220"/>
    <n v="22213"/>
  </r>
  <r>
    <n v="68"/>
    <x v="17"/>
    <x v="67"/>
    <n v="211"/>
    <n v="96"/>
    <n v="193"/>
    <n v="40723"/>
    <n v="20467"/>
  </r>
  <r>
    <n v="69"/>
    <x v="18"/>
    <x v="68"/>
    <n v="210"/>
    <n v="72"/>
    <n v="169"/>
    <n v="35490"/>
    <n v="20370"/>
  </r>
  <r>
    <n v="70"/>
    <x v="19"/>
    <x v="69"/>
    <n v="231"/>
    <n v="89"/>
    <n v="186"/>
    <n v="42966"/>
    <n v="22407"/>
  </r>
  <r>
    <n v="71"/>
    <x v="20"/>
    <x v="70"/>
    <n v="195"/>
    <n v="79"/>
    <n v="176"/>
    <n v="34320"/>
    <n v="18915"/>
  </r>
  <r>
    <n v="72"/>
    <x v="21"/>
    <x v="71"/>
    <n v="204"/>
    <n v="70"/>
    <n v="167"/>
    <n v="34068"/>
    <n v="19788"/>
  </r>
  <r>
    <n v="73"/>
    <x v="22"/>
    <x v="72"/>
    <n v="225"/>
    <n v="88"/>
    <n v="185"/>
    <n v="41625"/>
    <n v="21825"/>
  </r>
  <r>
    <n v="74"/>
    <x v="23"/>
    <x v="73"/>
    <n v="182"/>
    <n v="95"/>
    <n v="192"/>
    <n v="34944"/>
    <n v="17654"/>
  </r>
  <r>
    <n v="75"/>
    <x v="24"/>
    <x v="18"/>
    <n v="237"/>
    <n v="74"/>
    <n v="171"/>
    <n v="40527"/>
    <n v="22989"/>
  </r>
  <r>
    <n v="76"/>
    <x v="25"/>
    <x v="74"/>
    <n v="207"/>
    <n v="81"/>
    <n v="178"/>
    <n v="36846"/>
    <n v="20079"/>
  </r>
  <r>
    <n v="77"/>
    <x v="26"/>
    <x v="75"/>
    <n v="232"/>
    <n v="90"/>
    <n v="187"/>
    <n v="43384"/>
    <n v="22504"/>
  </r>
  <r>
    <n v="78"/>
    <x v="27"/>
    <x v="76"/>
    <n v="202"/>
    <n v="73"/>
    <n v="170"/>
    <n v="34340"/>
    <n v="19594"/>
  </r>
  <r>
    <n v="79"/>
    <x v="28"/>
    <x v="77"/>
    <n v="229"/>
    <n v="84"/>
    <n v="181"/>
    <n v="41449"/>
    <n v="22213"/>
  </r>
  <r>
    <n v="80"/>
    <x v="29"/>
    <x v="78"/>
    <n v="193"/>
    <n v="77"/>
    <n v="174"/>
    <n v="33582"/>
    <n v="18721"/>
  </r>
  <r>
    <n v="81"/>
    <x v="30"/>
    <x v="79"/>
    <n v="189"/>
    <n v="93"/>
    <n v="190"/>
    <n v="35910"/>
    <n v="18333"/>
  </r>
  <r>
    <n v="82"/>
    <x v="31"/>
    <x v="80"/>
    <n v="200"/>
    <n v="76"/>
    <n v="173"/>
    <n v="34600"/>
    <n v="19400"/>
  </r>
  <r>
    <n v="83"/>
    <x v="32"/>
    <x v="81"/>
    <n v="227"/>
    <n v="98"/>
    <n v="195"/>
    <n v="44265"/>
    <n v="22019"/>
  </r>
  <r>
    <n v="84"/>
    <x v="33"/>
    <x v="82"/>
    <n v="182"/>
    <n v="91"/>
    <n v="188"/>
    <n v="34216"/>
    <n v="17654"/>
  </r>
  <r>
    <n v="85"/>
    <x v="34"/>
    <x v="83"/>
    <n v="219"/>
    <n v="82"/>
    <n v="179"/>
    <n v="39201"/>
    <n v="21243"/>
  </r>
  <r>
    <n v="86"/>
    <x v="35"/>
    <x v="84"/>
    <n v="191"/>
    <n v="99"/>
    <n v="196"/>
    <n v="37436"/>
    <n v="18527"/>
  </r>
  <r>
    <n v="87"/>
    <x v="36"/>
    <x v="85"/>
    <n v="203"/>
    <n v="85"/>
    <n v="182"/>
    <n v="36946"/>
    <n v="19691"/>
  </r>
  <r>
    <n v="88"/>
    <x v="37"/>
    <x v="86"/>
    <n v="218"/>
    <n v="75"/>
    <n v="172"/>
    <n v="37496"/>
    <n v="21146"/>
  </r>
  <r>
    <n v="89"/>
    <x v="38"/>
    <x v="87"/>
    <n v="205"/>
    <n v="97"/>
    <n v="194"/>
    <n v="39770"/>
    <n v="19885"/>
  </r>
  <r>
    <n v="90"/>
    <x v="0"/>
    <x v="88"/>
    <n v="233"/>
    <n v="86"/>
    <n v="183"/>
    <n v="42639"/>
    <n v="22601"/>
  </r>
  <r>
    <n v="91"/>
    <x v="1"/>
    <x v="89"/>
    <n v="221"/>
    <n v="80"/>
    <n v="177"/>
    <n v="39117"/>
    <n v="21437"/>
  </r>
  <r>
    <n v="92"/>
    <x v="2"/>
    <x v="90"/>
    <n v="216"/>
    <n v="92"/>
    <n v="189"/>
    <n v="40824"/>
    <n v="20952"/>
  </r>
  <r>
    <n v="93"/>
    <x v="3"/>
    <x v="91"/>
    <n v="185"/>
    <n v="81"/>
    <n v="178"/>
    <n v="32930"/>
    <n v="17945"/>
  </r>
  <r>
    <n v="94"/>
    <x v="4"/>
    <x v="92"/>
    <n v="237"/>
    <n v="76"/>
    <n v="173"/>
    <n v="41001"/>
    <n v="22989"/>
  </r>
  <r>
    <n v="95"/>
    <x v="5"/>
    <x v="93"/>
    <n v="195"/>
    <n v="88"/>
    <n v="185"/>
    <n v="36075"/>
    <n v="18915"/>
  </r>
  <r>
    <n v="96"/>
    <x v="6"/>
    <x v="94"/>
    <n v="188"/>
    <n v="97"/>
    <n v="194"/>
    <n v="36472"/>
    <n v="18236"/>
  </r>
  <r>
    <n v="97"/>
    <x v="7"/>
    <x v="95"/>
    <n v="208"/>
    <n v="70"/>
    <n v="167"/>
    <n v="34736"/>
    <n v="20176"/>
  </r>
  <r>
    <n v="98"/>
    <x v="8"/>
    <x v="96"/>
    <n v="221"/>
    <n v="95"/>
    <n v="192"/>
    <n v="42432"/>
    <n v="21437"/>
  </r>
  <r>
    <n v="99"/>
    <x v="9"/>
    <x v="97"/>
    <n v="224"/>
    <n v="74"/>
    <n v="171"/>
    <n v="38304"/>
    <n v="21728"/>
  </r>
  <r>
    <n v="100"/>
    <x v="10"/>
    <x v="98"/>
    <n v="198"/>
    <n v="89"/>
    <n v="186"/>
    <n v="36828"/>
    <n v="19206"/>
  </r>
  <r>
    <n v="101"/>
    <x v="11"/>
    <x v="99"/>
    <n v="196"/>
    <n v="73"/>
    <n v="170"/>
    <n v="33320"/>
    <n v="19012"/>
  </r>
  <r>
    <n v="102"/>
    <x v="12"/>
    <x v="100"/>
    <n v="188"/>
    <n v="79"/>
    <n v="176"/>
    <n v="33088"/>
    <n v="18236"/>
  </r>
  <r>
    <n v="103"/>
    <x v="13"/>
    <x v="101"/>
    <n v="204"/>
    <n v="91"/>
    <n v="188"/>
    <n v="38352"/>
    <n v="19788"/>
  </r>
  <r>
    <n v="104"/>
    <x v="14"/>
    <x v="102"/>
    <n v="236"/>
    <n v="84"/>
    <n v="181"/>
    <n v="42716"/>
    <n v="22892"/>
  </r>
  <r>
    <n v="105"/>
    <x v="15"/>
    <x v="103"/>
    <n v="222"/>
    <n v="72"/>
    <n v="169"/>
    <n v="37518"/>
    <n v="21534"/>
  </r>
  <r>
    <n v="106"/>
    <x v="16"/>
    <x v="104"/>
    <n v="214"/>
    <n v="86"/>
    <n v="183"/>
    <n v="39162"/>
    <n v="20758"/>
  </r>
  <r>
    <n v="107"/>
    <x v="17"/>
    <x v="105"/>
    <n v="193"/>
    <n v="99"/>
    <n v="196"/>
    <n v="37828"/>
    <n v="18721"/>
  </r>
  <r>
    <n v="108"/>
    <x v="18"/>
    <x v="106"/>
    <n v="216"/>
    <n v="75"/>
    <n v="172"/>
    <n v="37152"/>
    <n v="20952"/>
  </r>
  <r>
    <n v="109"/>
    <x v="39"/>
    <x v="107"/>
    <n v="189"/>
    <n v="93"/>
    <n v="190"/>
    <n v="35910"/>
    <n v="18333"/>
  </r>
  <r>
    <n v="110"/>
    <x v="40"/>
    <x v="108"/>
    <n v="230"/>
    <n v="78"/>
    <n v="175"/>
    <n v="40250"/>
    <n v="22310"/>
  </r>
  <r>
    <n v="111"/>
    <x v="41"/>
    <x v="109"/>
    <n v="225"/>
    <n v="70"/>
    <n v="167"/>
    <n v="37575"/>
    <n v="21825"/>
  </r>
  <r>
    <n v="112"/>
    <x v="42"/>
    <x v="110"/>
    <n v="211"/>
    <n v="83"/>
    <n v="180"/>
    <n v="37980"/>
    <n v="20467"/>
  </r>
  <r>
    <n v="113"/>
    <x v="43"/>
    <x v="111"/>
    <n v="220"/>
    <n v="92"/>
    <n v="189"/>
    <n v="41580"/>
    <n v="21340"/>
  </r>
  <r>
    <n v="114"/>
    <x v="44"/>
    <x v="112"/>
    <n v="202"/>
    <n v="71"/>
    <n v="168"/>
    <n v="33936"/>
    <n v="19594"/>
  </r>
  <r>
    <n v="115"/>
    <x v="45"/>
    <x v="113"/>
    <n v="212"/>
    <n v="87"/>
    <n v="184"/>
    <n v="39008"/>
    <n v="20564"/>
  </r>
  <r>
    <n v="116"/>
    <x v="46"/>
    <x v="114"/>
    <n v="234"/>
    <n v="96"/>
    <n v="193"/>
    <n v="45162"/>
    <n v="22698"/>
  </r>
  <r>
    <n v="117"/>
    <x v="47"/>
    <x v="115"/>
    <n v="203"/>
    <n v="80"/>
    <n v="177"/>
    <n v="35931"/>
    <n v="19691"/>
  </r>
  <r>
    <n v="118"/>
    <x v="48"/>
    <x v="0"/>
    <n v="234"/>
    <n v="98"/>
    <n v="195"/>
    <n v="45630"/>
    <n v="22698"/>
  </r>
  <r>
    <n v="119"/>
    <x v="49"/>
    <x v="1"/>
    <n v="190"/>
    <n v="82"/>
    <n v="179"/>
    <n v="34010"/>
    <n v="18430"/>
  </r>
  <r>
    <n v="120"/>
    <x v="50"/>
    <x v="2"/>
    <n v="183"/>
    <n v="70"/>
    <n v="167"/>
    <n v="30561"/>
    <n v="17751"/>
  </r>
  <r>
    <n v="121"/>
    <x v="51"/>
    <x v="3"/>
    <n v="213"/>
    <n v="90"/>
    <n v="187"/>
    <n v="39831"/>
    <n v="20661"/>
  </r>
  <r>
    <n v="122"/>
    <x v="52"/>
    <x v="4"/>
    <n v="208"/>
    <n v="94"/>
    <n v="191"/>
    <n v="39728"/>
    <n v="20176"/>
  </r>
  <r>
    <n v="123"/>
    <x v="53"/>
    <x v="5"/>
    <n v="182"/>
    <n v="77"/>
    <n v="174"/>
    <n v="31668"/>
    <n v="17654"/>
  </r>
  <r>
    <n v="124"/>
    <x v="54"/>
    <x v="6"/>
    <n v="231"/>
    <n v="85"/>
    <n v="182"/>
    <n v="42042"/>
    <n v="22407"/>
  </r>
  <r>
    <n v="125"/>
    <x v="55"/>
    <x v="7"/>
    <n v="223"/>
    <n v="72"/>
    <n v="169"/>
    <n v="37687"/>
    <n v="21631"/>
  </r>
  <r>
    <n v="126"/>
    <x v="56"/>
    <x v="8"/>
    <n v="210"/>
    <n v="89"/>
    <n v="186"/>
    <n v="39060"/>
    <n v="20370"/>
  </r>
  <r>
    <n v="127"/>
    <x v="57"/>
    <x v="9"/>
    <n v="238"/>
    <n v="96"/>
    <n v="193"/>
    <n v="45934"/>
    <n v="23086"/>
  </r>
  <r>
    <n v="128"/>
    <x v="58"/>
    <x v="10"/>
    <n v="194"/>
    <n v="70"/>
    <n v="167"/>
    <n v="32398"/>
    <n v="18818"/>
  </r>
  <r>
    <n v="129"/>
    <x v="59"/>
    <x v="11"/>
    <n v="232"/>
    <n v="74"/>
    <n v="171"/>
    <n v="39672"/>
    <n v="22504"/>
  </r>
  <r>
    <n v="130"/>
    <x v="60"/>
    <x v="12"/>
    <n v="215"/>
    <n v="81"/>
    <n v="178"/>
    <n v="38270"/>
    <n v="20855"/>
  </r>
  <r>
    <n v="131"/>
    <x v="61"/>
    <x v="13"/>
    <n v="229"/>
    <n v="98"/>
    <n v="195"/>
    <n v="44655"/>
    <n v="22213"/>
  </r>
  <r>
    <n v="132"/>
    <x v="62"/>
    <x v="14"/>
    <n v="198"/>
    <n v="76"/>
    <n v="173"/>
    <n v="34254"/>
    <n v="19206"/>
  </r>
  <r>
    <n v="133"/>
    <x v="63"/>
    <x v="15"/>
    <n v="196"/>
    <n v="94"/>
    <n v="191"/>
    <n v="37436"/>
    <n v="19012"/>
  </r>
  <r>
    <n v="134"/>
    <x v="64"/>
    <x v="16"/>
    <n v="227"/>
    <n v="72"/>
    <n v="169"/>
    <n v="38363"/>
    <n v="22019"/>
  </r>
  <r>
    <n v="135"/>
    <x v="65"/>
    <x v="17"/>
    <n v="207"/>
    <n v="82"/>
    <n v="179"/>
    <n v="37053"/>
    <n v="20079"/>
  </r>
  <r>
    <n v="136"/>
    <x v="66"/>
    <x v="18"/>
    <n v="217"/>
    <n v="85"/>
    <n v="182"/>
    <n v="39494"/>
    <n v="21049"/>
  </r>
  <r>
    <n v="137"/>
    <x v="67"/>
    <x v="19"/>
    <n v="184"/>
    <n v="91"/>
    <n v="188"/>
    <n v="34592"/>
    <n v="17848"/>
  </r>
  <r>
    <n v="138"/>
    <x v="68"/>
    <x v="20"/>
    <n v="235"/>
    <n v="70"/>
    <n v="167"/>
    <n v="39245"/>
    <n v="22795"/>
  </r>
  <r>
    <n v="139"/>
    <x v="69"/>
    <x v="21"/>
    <n v="199"/>
    <n v="89"/>
    <n v="186"/>
    <n v="37014"/>
    <n v="19303"/>
  </r>
  <r>
    <n v="140"/>
    <x v="70"/>
    <x v="22"/>
    <n v="203"/>
    <n v="77"/>
    <n v="174"/>
    <n v="35322"/>
    <n v="19691"/>
  </r>
  <r>
    <n v="141"/>
    <x v="71"/>
    <x v="23"/>
    <n v="186"/>
    <n v="93"/>
    <n v="190"/>
    <n v="35340"/>
    <n v="18042"/>
  </r>
  <r>
    <n v="142"/>
    <x v="72"/>
    <x v="24"/>
    <n v="206"/>
    <n v="73"/>
    <n v="170"/>
    <n v="35020"/>
    <n v="19982"/>
  </r>
  <r>
    <n v="143"/>
    <x v="73"/>
    <x v="25"/>
    <n v="236"/>
    <n v="100"/>
    <n v="197"/>
    <n v="46492"/>
    <n v="22892"/>
  </r>
  <r>
    <n v="144"/>
    <x v="74"/>
    <x v="26"/>
    <n v="226"/>
    <n v="88"/>
    <n v="185"/>
    <n v="41810"/>
    <n v="21922"/>
  </r>
  <r>
    <n v="145"/>
    <x v="75"/>
    <x v="27"/>
    <n v="183"/>
    <n v="79"/>
    <n v="176"/>
    <n v="32208"/>
    <n v="17751"/>
  </r>
  <r>
    <n v="146"/>
    <x v="76"/>
    <x v="28"/>
    <n v="229"/>
    <n v="95"/>
    <n v="192"/>
    <n v="43968"/>
    <n v="22213"/>
  </r>
  <r>
    <n v="147"/>
    <x v="77"/>
    <x v="29"/>
    <n v="211"/>
    <n v="84"/>
    <n v="181"/>
    <n v="38191"/>
    <n v="20467"/>
  </r>
  <r>
    <n v="148"/>
    <x v="78"/>
    <x v="30"/>
    <n v="210"/>
    <n v="78"/>
    <n v="175"/>
    <n v="36750"/>
    <n v="20370"/>
  </r>
  <r>
    <n v="149"/>
    <x v="79"/>
    <x v="31"/>
    <n v="231"/>
    <n v="97"/>
    <n v="194"/>
    <n v="44814"/>
    <n v="22407"/>
  </r>
  <r>
    <n v="150"/>
    <x v="80"/>
    <x v="32"/>
    <n v="195"/>
    <n v="82"/>
    <n v="179"/>
    <n v="34905"/>
    <n v="189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36BD25-1D13-4404-BA0E-2CDA1F143229}"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39:G46" firstHeaderRow="1" firstDataRow="1" firstDataCol="1"/>
  <pivotFields count="11">
    <pivotField showAll="0"/>
    <pivotField axis="axisRow" numFmtId="14"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showAll="0">
      <items count="117">
        <item x="46"/>
        <item x="35"/>
        <item x="79"/>
        <item x="64"/>
        <item x="29"/>
        <item x="94"/>
        <item x="7"/>
        <item x="93"/>
        <item x="63"/>
        <item x="109"/>
        <item x="9"/>
        <item x="73"/>
        <item x="84"/>
        <item x="28"/>
        <item x="13"/>
        <item x="33"/>
        <item x="12"/>
        <item x="42"/>
        <item x="0"/>
        <item x="89"/>
        <item x="37"/>
        <item x="75"/>
        <item x="77"/>
        <item x="85"/>
        <item x="41"/>
        <item x="61"/>
        <item x="98"/>
        <item x="92"/>
        <item x="97"/>
        <item x="96"/>
        <item x="103"/>
        <item x="32"/>
        <item x="34"/>
        <item x="47"/>
        <item x="14"/>
        <item x="17"/>
        <item x="18"/>
        <item x="69"/>
        <item x="1"/>
        <item x="74"/>
        <item x="66"/>
        <item x="53"/>
        <item x="50"/>
        <item x="105"/>
        <item x="36"/>
        <item x="57"/>
        <item x="54"/>
        <item x="51"/>
        <item x="49"/>
        <item x="3"/>
        <item x="110"/>
        <item x="6"/>
        <item x="20"/>
        <item x="72"/>
        <item x="60"/>
        <item x="44"/>
        <item x="24"/>
        <item x="21"/>
        <item x="114"/>
        <item x="113"/>
        <item x="25"/>
        <item x="16"/>
        <item x="26"/>
        <item x="2"/>
        <item x="68"/>
        <item x="55"/>
        <item x="8"/>
        <item x="71"/>
        <item x="58"/>
        <item x="78"/>
        <item x="40"/>
        <item x="86"/>
        <item x="22"/>
        <item x="23"/>
        <item x="56"/>
        <item x="112"/>
        <item x="108"/>
        <item x="115"/>
        <item x="100"/>
        <item x="104"/>
        <item x="52"/>
        <item x="19"/>
        <item x="106"/>
        <item x="70"/>
        <item x="11"/>
        <item x="10"/>
        <item x="83"/>
        <item x="4"/>
        <item x="38"/>
        <item x="99"/>
        <item x="30"/>
        <item x="101"/>
        <item x="102"/>
        <item x="5"/>
        <item x="67"/>
        <item x="76"/>
        <item x="65"/>
        <item x="91"/>
        <item x="27"/>
        <item x="43"/>
        <item x="48"/>
        <item x="31"/>
        <item x="62"/>
        <item x="80"/>
        <item x="39"/>
        <item x="59"/>
        <item x="111"/>
        <item x="88"/>
        <item x="45"/>
        <item x="87"/>
        <item x="15"/>
        <item x="107"/>
        <item x="82"/>
        <item x="81"/>
        <item x="90"/>
        <item x="95"/>
        <item t="default"/>
      </items>
    </pivotField>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3">
    <field x="10"/>
    <field x="8"/>
    <field x="1"/>
  </rowFields>
  <rowItems count="7">
    <i>
      <x v="1"/>
    </i>
    <i r="1">
      <x v="10"/>
    </i>
    <i r="1">
      <x v="11"/>
    </i>
    <i>
      <x v="2"/>
    </i>
    <i r="1">
      <x v="1"/>
    </i>
    <i r="1">
      <x v="2"/>
    </i>
    <i t="grand">
      <x/>
    </i>
  </rowItems>
  <colItems count="1">
    <i/>
  </colItems>
  <dataFields count="1">
    <dataField name="Sum of REVENUE"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E6FBF3-84CD-4458-9F8C-9A56539E5DDF}"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4:C45" firstHeaderRow="0" firstDataRow="1" firstDataCol="1"/>
  <pivotFields count="11">
    <pivotField showAll="0"/>
    <pivotField numFmtId="14"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axis="axisRow" showAll="0" measureFilter="1">
      <items count="117">
        <item x="46"/>
        <item x="35"/>
        <item x="79"/>
        <item x="64"/>
        <item x="29"/>
        <item x="94"/>
        <item x="7"/>
        <item x="93"/>
        <item x="63"/>
        <item x="109"/>
        <item x="9"/>
        <item x="73"/>
        <item x="84"/>
        <item x="28"/>
        <item x="13"/>
        <item x="33"/>
        <item x="12"/>
        <item x="42"/>
        <item x="0"/>
        <item x="89"/>
        <item x="37"/>
        <item x="75"/>
        <item x="77"/>
        <item x="85"/>
        <item x="41"/>
        <item x="61"/>
        <item x="98"/>
        <item x="92"/>
        <item x="97"/>
        <item x="96"/>
        <item x="103"/>
        <item x="32"/>
        <item x="34"/>
        <item x="47"/>
        <item x="14"/>
        <item x="17"/>
        <item x="18"/>
        <item x="69"/>
        <item x="1"/>
        <item x="74"/>
        <item x="66"/>
        <item x="53"/>
        <item x="50"/>
        <item x="105"/>
        <item x="36"/>
        <item x="57"/>
        <item x="54"/>
        <item x="51"/>
        <item x="49"/>
        <item x="3"/>
        <item x="110"/>
        <item x="6"/>
        <item x="20"/>
        <item x="72"/>
        <item x="60"/>
        <item x="44"/>
        <item x="24"/>
        <item x="21"/>
        <item x="114"/>
        <item x="113"/>
        <item x="25"/>
        <item x="16"/>
        <item x="26"/>
        <item x="2"/>
        <item x="68"/>
        <item x="55"/>
        <item x="8"/>
        <item x="71"/>
        <item x="58"/>
        <item x="78"/>
        <item x="40"/>
        <item x="86"/>
        <item x="22"/>
        <item x="23"/>
        <item x="56"/>
        <item x="112"/>
        <item x="108"/>
        <item x="115"/>
        <item x="100"/>
        <item x="104"/>
        <item x="52"/>
        <item x="19"/>
        <item x="106"/>
        <item x="70"/>
        <item x="11"/>
        <item x="10"/>
        <item x="83"/>
        <item x="4"/>
        <item x="38"/>
        <item x="99"/>
        <item x="30"/>
        <item x="101"/>
        <item x="102"/>
        <item x="5"/>
        <item x="67"/>
        <item x="76"/>
        <item x="65"/>
        <item x="91"/>
        <item x="27"/>
        <item x="43"/>
        <item x="48"/>
        <item x="31"/>
        <item x="62"/>
        <item x="80"/>
        <item x="39"/>
        <item x="59"/>
        <item x="111"/>
        <item x="88"/>
        <item x="45"/>
        <item x="87"/>
        <item x="15"/>
        <item x="107"/>
        <item x="82"/>
        <item x="81"/>
        <item x="90"/>
        <item x="95"/>
        <item t="default"/>
      </items>
    </pivotField>
    <pivotField showAll="0"/>
    <pivotField showAll="0"/>
    <pivotField showAll="0"/>
    <pivotField dataField="1" showAll="0"/>
    <pivotField dataField="1" showAll="0"/>
    <pivotField showAll="0" defaultSubtotal="0"/>
    <pivotField showAll="0" defaultSubtotal="0"/>
    <pivotField showAll="0" defaultSubtotal="0">
      <items count="4">
        <item x="0"/>
        <item x="1"/>
        <item x="2"/>
        <item x="3"/>
      </items>
    </pivotField>
  </pivotFields>
  <rowFields count="1">
    <field x="2"/>
  </rowFields>
  <rowItems count="11">
    <i>
      <x v="10"/>
    </i>
    <i>
      <x v="13"/>
    </i>
    <i>
      <x v="14"/>
    </i>
    <i>
      <x v="18"/>
    </i>
    <i>
      <x v="36"/>
    </i>
    <i>
      <x v="52"/>
    </i>
    <i>
      <x v="60"/>
    </i>
    <i>
      <x v="62"/>
    </i>
    <i>
      <x v="66"/>
    </i>
    <i>
      <x v="84"/>
    </i>
    <i t="grand">
      <x/>
    </i>
  </rowItems>
  <colFields count="1">
    <field x="-2"/>
  </colFields>
  <colItems count="2">
    <i>
      <x/>
    </i>
    <i i="1">
      <x v="1"/>
    </i>
  </colItems>
  <dataFields count="2">
    <dataField name="Sum of REVENUE" fld="6" baseField="0" baseItem="0"/>
    <dataField name="Sum of PROFIT" fld="7"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7"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AB1FC8-1E20-4E36-B2C7-B948970D0C66}" name="PivotTable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39:K50" firstHeaderRow="1" firstDataRow="1" firstDataCol="1"/>
  <pivotFields count="11">
    <pivotField showAll="0"/>
    <pivotField numFmtId="14"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axis="axisRow" showAll="0" measureFilter="1">
      <items count="117">
        <item x="46"/>
        <item x="35"/>
        <item x="79"/>
        <item x="64"/>
        <item x="29"/>
        <item x="94"/>
        <item x="7"/>
        <item x="93"/>
        <item x="63"/>
        <item x="109"/>
        <item x="9"/>
        <item x="73"/>
        <item x="84"/>
        <item x="28"/>
        <item x="13"/>
        <item x="33"/>
        <item x="12"/>
        <item x="42"/>
        <item x="0"/>
        <item x="89"/>
        <item x="37"/>
        <item x="75"/>
        <item x="77"/>
        <item x="85"/>
        <item x="41"/>
        <item x="61"/>
        <item x="98"/>
        <item x="92"/>
        <item x="97"/>
        <item x="96"/>
        <item x="103"/>
        <item x="32"/>
        <item x="34"/>
        <item x="47"/>
        <item x="14"/>
        <item x="17"/>
        <item x="18"/>
        <item x="69"/>
        <item x="1"/>
        <item x="74"/>
        <item x="66"/>
        <item x="53"/>
        <item x="50"/>
        <item x="105"/>
        <item x="36"/>
        <item x="57"/>
        <item x="54"/>
        <item x="51"/>
        <item x="49"/>
        <item x="3"/>
        <item x="110"/>
        <item x="6"/>
        <item x="20"/>
        <item x="72"/>
        <item x="60"/>
        <item x="44"/>
        <item x="24"/>
        <item x="21"/>
        <item x="114"/>
        <item x="113"/>
        <item x="25"/>
        <item x="16"/>
        <item x="26"/>
        <item x="2"/>
        <item x="68"/>
        <item x="55"/>
        <item x="8"/>
        <item x="71"/>
        <item x="58"/>
        <item x="78"/>
        <item x="40"/>
        <item x="86"/>
        <item x="22"/>
        <item x="23"/>
        <item x="56"/>
        <item x="112"/>
        <item x="108"/>
        <item x="115"/>
        <item x="100"/>
        <item x="104"/>
        <item x="52"/>
        <item x="19"/>
        <item x="106"/>
        <item x="70"/>
        <item x="11"/>
        <item x="10"/>
        <item x="83"/>
        <item x="4"/>
        <item x="38"/>
        <item x="99"/>
        <item x="30"/>
        <item x="101"/>
        <item x="102"/>
        <item x="5"/>
        <item x="67"/>
        <item x="76"/>
        <item x="65"/>
        <item x="91"/>
        <item x="27"/>
        <item x="43"/>
        <item x="48"/>
        <item x="31"/>
        <item x="62"/>
        <item x="80"/>
        <item x="39"/>
        <item x="59"/>
        <item x="111"/>
        <item x="88"/>
        <item x="45"/>
        <item x="87"/>
        <item x="15"/>
        <item x="107"/>
        <item x="82"/>
        <item x="81"/>
        <item x="90"/>
        <item x="95"/>
        <item t="default"/>
      </items>
    </pivotField>
    <pivotField dataField="1"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2"/>
  </rowFields>
  <rowItems count="11">
    <i>
      <x v="4"/>
    </i>
    <i>
      <x v="10"/>
    </i>
    <i>
      <x v="14"/>
    </i>
    <i>
      <x v="18"/>
    </i>
    <i>
      <x v="36"/>
    </i>
    <i>
      <x v="52"/>
    </i>
    <i>
      <x v="60"/>
    </i>
    <i>
      <x v="62"/>
    </i>
    <i>
      <x v="66"/>
    </i>
    <i>
      <x v="84"/>
    </i>
    <i t="grand">
      <x/>
    </i>
  </rowItems>
  <colItems count="1">
    <i/>
  </colItems>
  <dataFields count="1">
    <dataField name="Sum of UNIT PRODUCED"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E6681928-AAC5-4C97-9268-B7EE0EB3DCCD}" sourceName="DATE">
  <pivotTables>
    <pivotTable tabId="4" name="PivotTable4"/>
    <pivotTable tabId="4" name="PivotTable1"/>
    <pivotTable tabId="4" name="PivotTable6"/>
  </pivotTables>
  <data>
    <tabular pivotCacheId="1550004099" customListSort="0" crossFilter="none">
      <items count="81">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BC8E1CF4-3AEE-454B-9C68-CA1B32E2D1B3}" cache="Slicer_DATE" caption="DATE" showCaption="0"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C94BE6-B225-2846-96A4-A79474B1848F}" name="Table1" displayName="Table1" ref="B4:I154" totalsRowShown="0" headerRowDxfId="11" dataDxfId="9" headerRowBorderDxfId="10" tableBorderDxfId="8">
  <autoFilter ref="B4:I154" xr:uid="{FBC94BE6-B225-2846-96A4-A79474B1848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C2B268C-DECF-EC4B-9017-966B608BA596}" name="S/N" dataDxfId="7"/>
    <tableColumn id="2" xr3:uid="{ED1BFBC3-8AA0-984C-84E3-BE3026C0E293}" name="DATE" dataDxfId="6"/>
    <tableColumn id="3" xr3:uid="{E680FB58-A56B-F74C-AE0A-CC8457E5F462}" name="PRODUCT" dataDxfId="5"/>
    <tableColumn id="4" xr3:uid="{4C134FE7-AFFF-6A4E-83F8-CB0933CAFB72}" name="UNIT PRODUCED" dataDxfId="4"/>
    <tableColumn id="5" xr3:uid="{C1E12D97-BB7B-3641-8870-6D8FE66CB2C4}" name="UNIT COST" dataDxfId="3"/>
    <tableColumn id="6" xr3:uid="{22F27DCA-2962-9B43-BED9-283EBFB143DC}" name="SALES PRICE" dataDxfId="2"/>
    <tableColumn id="7" xr3:uid="{E715CA49-BC84-47AB-895A-294A395C8BB5}" name="REVENUE" dataDxfId="1">
      <calculatedColumnFormula>(Table1[[#This Row],[UNIT PRODUCED]]*Table1[[#This Row],[SALES PRICE]])</calculatedColumnFormula>
    </tableColumn>
    <tableColumn id="8" xr3:uid="{F239CE52-39C2-46CC-ADBA-62C324F7678B}" name="PROFIT" dataDxfId="0">
      <calculatedColumnFormula>(Table1[[#This Row],[SALES PRICE]]-Table1[[#This Row],[UNIT COST]])*Table1[[#This Row],[UNIT PRODUCED]]</calculatedColumnFormula>
    </tableColumn>
  </tableColumns>
  <tableStyleInfo name="TableStyleMedium10"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E190F-A831-0148-BCB7-D19D52D0B7CB}">
  <dimension ref="B4:I192"/>
  <sheetViews>
    <sheetView tabSelected="1" topLeftCell="A2" workbookViewId="0">
      <selection activeCell="C6" sqref="C6"/>
    </sheetView>
  </sheetViews>
  <sheetFormatPr defaultColWidth="10.6640625" defaultRowHeight="15.5" x14ac:dyDescent="0.35"/>
  <cols>
    <col min="3" max="3" width="18.6640625" customWidth="1"/>
    <col min="4" max="4" width="29.1640625" customWidth="1"/>
    <col min="5" max="5" width="17.6640625" customWidth="1"/>
    <col min="6" max="6" width="14.33203125" customWidth="1"/>
    <col min="7" max="7" width="15.83203125" customWidth="1"/>
    <col min="8" max="8" width="17.33203125" customWidth="1"/>
  </cols>
  <sheetData>
    <row r="4" spans="2:9" x14ac:dyDescent="0.35">
      <c r="B4" s="11" t="s">
        <v>0</v>
      </c>
      <c r="C4" s="11" t="s">
        <v>5</v>
      </c>
      <c r="D4" s="11" t="s">
        <v>1</v>
      </c>
      <c r="E4" s="11" t="s">
        <v>2</v>
      </c>
      <c r="F4" s="11" t="s">
        <v>3</v>
      </c>
      <c r="G4" s="11" t="s">
        <v>4</v>
      </c>
      <c r="H4" s="12" t="s">
        <v>131</v>
      </c>
      <c r="I4" s="12" t="s">
        <v>124</v>
      </c>
    </row>
    <row r="5" spans="2:9" x14ac:dyDescent="0.35">
      <c r="B5" s="1">
        <v>1</v>
      </c>
      <c r="C5" s="2">
        <v>45200</v>
      </c>
      <c r="D5" s="1" t="s">
        <v>6</v>
      </c>
      <c r="E5" s="1">
        <v>205</v>
      </c>
      <c r="F5" s="1">
        <v>86</v>
      </c>
      <c r="G5" s="1">
        <v>183</v>
      </c>
      <c r="H5" s="9">
        <f>(Table1[[#This Row],[UNIT PRODUCED]]*Table1[[#This Row],[SALES PRICE]])</f>
        <v>37515</v>
      </c>
      <c r="I5" s="9">
        <f>(Table1[[#This Row],[SALES PRICE]]-Table1[[#This Row],[UNIT COST]])*Table1[[#This Row],[UNIT PRODUCED]]</f>
        <v>19885</v>
      </c>
    </row>
    <row r="6" spans="2:9" x14ac:dyDescent="0.35">
      <c r="B6" s="1">
        <v>2</v>
      </c>
      <c r="C6" s="2">
        <v>45201</v>
      </c>
      <c r="D6" s="1" t="s">
        <v>7</v>
      </c>
      <c r="E6" s="1">
        <v>190</v>
      </c>
      <c r="F6" s="1">
        <v>93</v>
      </c>
      <c r="G6" s="1">
        <v>190</v>
      </c>
      <c r="H6" s="1">
        <f>(Table1[[#This Row],[UNIT PRODUCED]]*Table1[[#This Row],[SALES PRICE]])</f>
        <v>36100</v>
      </c>
      <c r="I6" s="1">
        <f>(Table1[[#This Row],[SALES PRICE]]-Table1[[#This Row],[UNIT COST]])*Table1[[#This Row],[UNIT PRODUCED]]</f>
        <v>18430</v>
      </c>
    </row>
    <row r="7" spans="2:9" x14ac:dyDescent="0.35">
      <c r="B7" s="1">
        <v>3</v>
      </c>
      <c r="C7" s="2">
        <v>45202</v>
      </c>
      <c r="D7" s="1" t="s">
        <v>8</v>
      </c>
      <c r="E7" s="1">
        <v>231</v>
      </c>
      <c r="F7" s="1">
        <v>85</v>
      </c>
      <c r="G7" s="1">
        <v>182</v>
      </c>
      <c r="H7" s="1">
        <f>(Table1[[#This Row],[UNIT PRODUCED]]*Table1[[#This Row],[SALES PRICE]])</f>
        <v>42042</v>
      </c>
      <c r="I7" s="1">
        <f>(Table1[[#This Row],[SALES PRICE]]-Table1[[#This Row],[UNIT COST]])*Table1[[#This Row],[UNIT PRODUCED]]</f>
        <v>22407</v>
      </c>
    </row>
    <row r="8" spans="2:9" x14ac:dyDescent="0.35">
      <c r="B8" s="1">
        <v>4</v>
      </c>
      <c r="C8" s="2">
        <v>45203</v>
      </c>
      <c r="D8" s="1" t="s">
        <v>9</v>
      </c>
      <c r="E8" s="1">
        <v>202</v>
      </c>
      <c r="F8" s="1">
        <v>72</v>
      </c>
      <c r="G8" s="1">
        <v>169</v>
      </c>
      <c r="H8" s="1">
        <f>(Table1[[#This Row],[UNIT PRODUCED]]*Table1[[#This Row],[SALES PRICE]])</f>
        <v>34138</v>
      </c>
      <c r="I8" s="1">
        <f>(Table1[[#This Row],[SALES PRICE]]-Table1[[#This Row],[UNIT COST]])*Table1[[#This Row],[UNIT PRODUCED]]</f>
        <v>19594</v>
      </c>
    </row>
    <row r="9" spans="2:9" x14ac:dyDescent="0.35">
      <c r="B9" s="1">
        <v>5</v>
      </c>
      <c r="C9" s="2">
        <v>45204</v>
      </c>
      <c r="D9" s="1" t="s">
        <v>10</v>
      </c>
      <c r="E9" s="1">
        <v>203</v>
      </c>
      <c r="F9" s="1">
        <v>96</v>
      </c>
      <c r="G9" s="1">
        <v>193</v>
      </c>
      <c r="H9" s="1">
        <f>(Table1[[#This Row],[UNIT PRODUCED]]*Table1[[#This Row],[SALES PRICE]])</f>
        <v>39179</v>
      </c>
      <c r="I9" s="1">
        <f>(Table1[[#This Row],[SALES PRICE]]-Table1[[#This Row],[UNIT COST]])*Table1[[#This Row],[UNIT PRODUCED]]</f>
        <v>19691</v>
      </c>
    </row>
    <row r="10" spans="2:9" x14ac:dyDescent="0.35">
      <c r="B10" s="1">
        <v>6</v>
      </c>
      <c r="C10" s="2">
        <v>45205</v>
      </c>
      <c r="D10" s="1" t="s">
        <v>11</v>
      </c>
      <c r="E10" s="1">
        <v>224</v>
      </c>
      <c r="F10" s="1">
        <v>74</v>
      </c>
      <c r="G10" s="1">
        <v>171</v>
      </c>
      <c r="H10" s="1">
        <f>(Table1[[#This Row],[UNIT PRODUCED]]*Table1[[#This Row],[SALES PRICE]])</f>
        <v>38304</v>
      </c>
      <c r="I10" s="1">
        <f>(Table1[[#This Row],[SALES PRICE]]-Table1[[#This Row],[UNIT COST]])*Table1[[#This Row],[UNIT PRODUCED]]</f>
        <v>21728</v>
      </c>
    </row>
    <row r="11" spans="2:9" x14ac:dyDescent="0.35">
      <c r="B11" s="1">
        <v>7</v>
      </c>
      <c r="C11" s="2">
        <v>45206</v>
      </c>
      <c r="D11" s="1" t="s">
        <v>12</v>
      </c>
      <c r="E11" s="1">
        <v>181</v>
      </c>
      <c r="F11" s="1">
        <v>89</v>
      </c>
      <c r="G11" s="1">
        <v>186</v>
      </c>
      <c r="H11" s="1">
        <f>(Table1[[#This Row],[UNIT PRODUCED]]*Table1[[#This Row],[SALES PRICE]])</f>
        <v>33666</v>
      </c>
      <c r="I11" s="1">
        <f>(Table1[[#This Row],[SALES PRICE]]-Table1[[#This Row],[UNIT COST]])*Table1[[#This Row],[UNIT PRODUCED]]</f>
        <v>17557</v>
      </c>
    </row>
    <row r="12" spans="2:9" x14ac:dyDescent="0.35">
      <c r="B12" s="1">
        <v>8</v>
      </c>
      <c r="C12" s="2">
        <v>45207</v>
      </c>
      <c r="D12" s="1" t="s">
        <v>13</v>
      </c>
      <c r="E12" s="1">
        <v>188</v>
      </c>
      <c r="F12" s="1">
        <v>77</v>
      </c>
      <c r="G12" s="1">
        <v>174</v>
      </c>
      <c r="H12" s="1">
        <f>(Table1[[#This Row],[UNIT PRODUCED]]*Table1[[#This Row],[SALES PRICE]])</f>
        <v>32712</v>
      </c>
      <c r="I12" s="1">
        <f>(Table1[[#This Row],[SALES PRICE]]-Table1[[#This Row],[UNIT COST]])*Table1[[#This Row],[UNIT PRODUCED]]</f>
        <v>18236</v>
      </c>
    </row>
    <row r="13" spans="2:9" x14ac:dyDescent="0.35">
      <c r="B13" s="1">
        <v>9</v>
      </c>
      <c r="C13" s="2">
        <v>45208</v>
      </c>
      <c r="D13" s="1" t="s">
        <v>14</v>
      </c>
      <c r="E13" s="1">
        <v>213</v>
      </c>
      <c r="F13" s="1">
        <v>98</v>
      </c>
      <c r="G13" s="1">
        <v>195</v>
      </c>
      <c r="H13" s="1">
        <f>(Table1[[#This Row],[UNIT PRODUCED]]*Table1[[#This Row],[SALES PRICE]])</f>
        <v>41535</v>
      </c>
      <c r="I13" s="1">
        <f>(Table1[[#This Row],[SALES PRICE]]-Table1[[#This Row],[UNIT COST]])*Table1[[#This Row],[UNIT PRODUCED]]</f>
        <v>20661</v>
      </c>
    </row>
    <row r="14" spans="2:9" x14ac:dyDescent="0.35">
      <c r="B14" s="1">
        <v>10</v>
      </c>
      <c r="C14" s="2">
        <v>45209</v>
      </c>
      <c r="D14" s="1" t="s">
        <v>15</v>
      </c>
      <c r="E14" s="1">
        <v>228</v>
      </c>
      <c r="F14" s="1">
        <v>71</v>
      </c>
      <c r="G14" s="1">
        <v>168</v>
      </c>
      <c r="H14" s="1">
        <f>(Table1[[#This Row],[UNIT PRODUCED]]*Table1[[#This Row],[SALES PRICE]])</f>
        <v>38304</v>
      </c>
      <c r="I14" s="1">
        <f>(Table1[[#This Row],[SALES PRICE]]-Table1[[#This Row],[UNIT COST]])*Table1[[#This Row],[UNIT PRODUCED]]</f>
        <v>22116</v>
      </c>
    </row>
    <row r="15" spans="2:9" x14ac:dyDescent="0.35">
      <c r="B15" s="1">
        <v>11</v>
      </c>
      <c r="C15" s="2">
        <v>45210</v>
      </c>
      <c r="D15" s="1" t="s">
        <v>16</v>
      </c>
      <c r="E15" s="1">
        <v>220</v>
      </c>
      <c r="F15" s="1">
        <v>81</v>
      </c>
      <c r="G15" s="1">
        <v>178</v>
      </c>
      <c r="H15" s="1">
        <f>(Table1[[#This Row],[UNIT PRODUCED]]*Table1[[#This Row],[SALES PRICE]])</f>
        <v>39160</v>
      </c>
      <c r="I15" s="1">
        <f>(Table1[[#This Row],[SALES PRICE]]-Table1[[#This Row],[UNIT COST]])*Table1[[#This Row],[UNIT PRODUCED]]</f>
        <v>21340</v>
      </c>
    </row>
    <row r="16" spans="2:9" x14ac:dyDescent="0.35">
      <c r="B16" s="1">
        <v>12</v>
      </c>
      <c r="C16" s="2">
        <v>45211</v>
      </c>
      <c r="D16" s="1" t="s">
        <v>17</v>
      </c>
      <c r="E16" s="1">
        <v>209</v>
      </c>
      <c r="F16" s="1">
        <v>95</v>
      </c>
      <c r="G16" s="1">
        <v>192</v>
      </c>
      <c r="H16" s="1">
        <f>(Table1[[#This Row],[UNIT PRODUCED]]*Table1[[#This Row],[SALES PRICE]])</f>
        <v>40128</v>
      </c>
      <c r="I16" s="1">
        <f>(Table1[[#This Row],[SALES PRICE]]-Table1[[#This Row],[UNIT COST]])*Table1[[#This Row],[UNIT PRODUCED]]</f>
        <v>20273</v>
      </c>
    </row>
    <row r="17" spans="2:9" x14ac:dyDescent="0.35">
      <c r="B17" s="1">
        <v>13</v>
      </c>
      <c r="C17" s="2">
        <v>45212</v>
      </c>
      <c r="D17" s="1" t="s">
        <v>18</v>
      </c>
      <c r="E17" s="1">
        <v>185</v>
      </c>
      <c r="F17" s="1">
        <v>73</v>
      </c>
      <c r="G17" s="1">
        <v>170</v>
      </c>
      <c r="H17" s="1">
        <f>(Table1[[#This Row],[UNIT PRODUCED]]*Table1[[#This Row],[SALES PRICE]])</f>
        <v>31450</v>
      </c>
      <c r="I17" s="1">
        <f>(Table1[[#This Row],[SALES PRICE]]-Table1[[#This Row],[UNIT COST]])*Table1[[#This Row],[UNIT PRODUCED]]</f>
        <v>17945</v>
      </c>
    </row>
    <row r="18" spans="2:9" x14ac:dyDescent="0.35">
      <c r="B18" s="1">
        <v>14</v>
      </c>
      <c r="C18" s="2">
        <v>45213</v>
      </c>
      <c r="D18" s="1" t="s">
        <v>19</v>
      </c>
      <c r="E18" s="1">
        <v>196</v>
      </c>
      <c r="F18" s="1">
        <v>82</v>
      </c>
      <c r="G18" s="1">
        <v>179</v>
      </c>
      <c r="H18" s="1">
        <f>(Table1[[#This Row],[UNIT PRODUCED]]*Table1[[#This Row],[SALES PRICE]])</f>
        <v>35084</v>
      </c>
      <c r="I18" s="1">
        <f>(Table1[[#This Row],[SALES PRICE]]-Table1[[#This Row],[UNIT COST]])*Table1[[#This Row],[UNIT PRODUCED]]</f>
        <v>19012</v>
      </c>
    </row>
    <row r="19" spans="2:9" x14ac:dyDescent="0.35">
      <c r="B19" s="1">
        <v>15</v>
      </c>
      <c r="C19" s="2">
        <v>45214</v>
      </c>
      <c r="D19" s="1" t="s">
        <v>20</v>
      </c>
      <c r="E19" s="1">
        <v>183</v>
      </c>
      <c r="F19" s="1">
        <v>78</v>
      </c>
      <c r="G19" s="1">
        <v>175</v>
      </c>
      <c r="H19" s="1">
        <f>(Table1[[#This Row],[UNIT PRODUCED]]*Table1[[#This Row],[SALES PRICE]])</f>
        <v>32025</v>
      </c>
      <c r="I19" s="1">
        <f>(Table1[[#This Row],[SALES PRICE]]-Table1[[#This Row],[UNIT COST]])*Table1[[#This Row],[UNIT PRODUCED]]</f>
        <v>17751</v>
      </c>
    </row>
    <row r="20" spans="2:9" x14ac:dyDescent="0.35">
      <c r="B20" s="1">
        <v>16</v>
      </c>
      <c r="C20" s="2">
        <v>45215</v>
      </c>
      <c r="D20" s="1" t="s">
        <v>21</v>
      </c>
      <c r="E20" s="1">
        <v>217</v>
      </c>
      <c r="F20" s="1">
        <v>88</v>
      </c>
      <c r="G20" s="1">
        <v>185</v>
      </c>
      <c r="H20" s="1">
        <f>(Table1[[#This Row],[UNIT PRODUCED]]*Table1[[#This Row],[SALES PRICE]])</f>
        <v>40145</v>
      </c>
      <c r="I20" s="1">
        <f>(Table1[[#This Row],[SALES PRICE]]-Table1[[#This Row],[UNIT COST]])*Table1[[#This Row],[UNIT PRODUCED]]</f>
        <v>21049</v>
      </c>
    </row>
    <row r="21" spans="2:9" x14ac:dyDescent="0.35">
      <c r="B21" s="1">
        <v>17</v>
      </c>
      <c r="C21" s="2">
        <v>45216</v>
      </c>
      <c r="D21" s="1" t="s">
        <v>22</v>
      </c>
      <c r="E21" s="1">
        <v>192</v>
      </c>
      <c r="F21" s="1">
        <v>76</v>
      </c>
      <c r="G21" s="1">
        <v>173</v>
      </c>
      <c r="H21" s="1">
        <f>(Table1[[#This Row],[UNIT PRODUCED]]*Table1[[#This Row],[SALES PRICE]])</f>
        <v>33216</v>
      </c>
      <c r="I21" s="1">
        <f>(Table1[[#This Row],[SALES PRICE]]-Table1[[#This Row],[UNIT COST]])*Table1[[#This Row],[UNIT PRODUCED]]</f>
        <v>18624</v>
      </c>
    </row>
    <row r="22" spans="2:9" x14ac:dyDescent="0.35">
      <c r="B22" s="1">
        <v>18</v>
      </c>
      <c r="C22" s="2">
        <v>45217</v>
      </c>
      <c r="D22" s="1" t="s">
        <v>23</v>
      </c>
      <c r="E22" s="1">
        <v>212</v>
      </c>
      <c r="F22" s="1">
        <v>91</v>
      </c>
      <c r="G22" s="1">
        <v>188</v>
      </c>
      <c r="H22" s="1">
        <f>(Table1[[#This Row],[UNIT PRODUCED]]*Table1[[#This Row],[SALES PRICE]])</f>
        <v>39856</v>
      </c>
      <c r="I22" s="1">
        <f>(Table1[[#This Row],[SALES PRICE]]-Table1[[#This Row],[UNIT COST]])*Table1[[#This Row],[UNIT PRODUCED]]</f>
        <v>20564</v>
      </c>
    </row>
    <row r="23" spans="2:9" x14ac:dyDescent="0.35">
      <c r="B23" s="1">
        <v>19</v>
      </c>
      <c r="C23" s="2">
        <v>45218</v>
      </c>
      <c r="D23" s="1" t="s">
        <v>24</v>
      </c>
      <c r="E23" s="1">
        <v>207</v>
      </c>
      <c r="F23" s="1">
        <v>84</v>
      </c>
      <c r="G23" s="1">
        <v>181</v>
      </c>
      <c r="H23" s="1">
        <f>(Table1[[#This Row],[UNIT PRODUCED]]*Table1[[#This Row],[SALES PRICE]])</f>
        <v>37467</v>
      </c>
      <c r="I23" s="1">
        <f>(Table1[[#This Row],[SALES PRICE]]-Table1[[#This Row],[UNIT COST]])*Table1[[#This Row],[UNIT PRODUCED]]</f>
        <v>20079</v>
      </c>
    </row>
    <row r="24" spans="2:9" x14ac:dyDescent="0.35">
      <c r="B24" s="1">
        <v>20</v>
      </c>
      <c r="C24" s="2">
        <v>45219</v>
      </c>
      <c r="D24" s="1" t="s">
        <v>25</v>
      </c>
      <c r="E24" s="1">
        <v>223</v>
      </c>
      <c r="F24" s="1">
        <v>99</v>
      </c>
      <c r="G24" s="1">
        <v>196</v>
      </c>
      <c r="H24" s="1">
        <f>(Table1[[#This Row],[UNIT PRODUCED]]*Table1[[#This Row],[SALES PRICE]])</f>
        <v>43708</v>
      </c>
      <c r="I24" s="1">
        <f>(Table1[[#This Row],[SALES PRICE]]-Table1[[#This Row],[UNIT COST]])*Table1[[#This Row],[UNIT PRODUCED]]</f>
        <v>21631</v>
      </c>
    </row>
    <row r="25" spans="2:9" x14ac:dyDescent="0.35">
      <c r="B25" s="1">
        <v>21</v>
      </c>
      <c r="C25" s="2">
        <v>45200</v>
      </c>
      <c r="D25" s="1" t="s">
        <v>26</v>
      </c>
      <c r="E25" s="1">
        <v>222</v>
      </c>
      <c r="F25" s="1">
        <v>92</v>
      </c>
      <c r="G25" s="1">
        <v>189</v>
      </c>
      <c r="H25" s="1">
        <f>(Table1[[#This Row],[UNIT PRODUCED]]*Table1[[#This Row],[SALES PRICE]])</f>
        <v>41958</v>
      </c>
      <c r="I25" s="1">
        <f>(Table1[[#This Row],[SALES PRICE]]-Table1[[#This Row],[UNIT COST]])*Table1[[#This Row],[UNIT PRODUCED]]</f>
        <v>21534</v>
      </c>
    </row>
    <row r="26" spans="2:9" x14ac:dyDescent="0.35">
      <c r="B26" s="1">
        <v>22</v>
      </c>
      <c r="C26" s="2">
        <v>45201</v>
      </c>
      <c r="D26" s="1" t="s">
        <v>27</v>
      </c>
      <c r="E26" s="1">
        <v>219</v>
      </c>
      <c r="F26" s="1">
        <v>97</v>
      </c>
      <c r="G26" s="1">
        <v>194</v>
      </c>
      <c r="H26" s="1">
        <f>(Table1[[#This Row],[UNIT PRODUCED]]*Table1[[#This Row],[SALES PRICE]])</f>
        <v>42486</v>
      </c>
      <c r="I26" s="1">
        <f>(Table1[[#This Row],[SALES PRICE]]-Table1[[#This Row],[UNIT COST]])*Table1[[#This Row],[UNIT PRODUCED]]</f>
        <v>21243</v>
      </c>
    </row>
    <row r="27" spans="2:9" x14ac:dyDescent="0.35">
      <c r="B27" s="1">
        <v>23</v>
      </c>
      <c r="C27" s="2">
        <v>45202</v>
      </c>
      <c r="D27" s="1" t="s">
        <v>28</v>
      </c>
      <c r="E27" s="1">
        <v>182</v>
      </c>
      <c r="F27" s="1">
        <v>87</v>
      </c>
      <c r="G27" s="1">
        <v>184</v>
      </c>
      <c r="H27" s="1">
        <f>(Table1[[#This Row],[UNIT PRODUCED]]*Table1[[#This Row],[SALES PRICE]])</f>
        <v>33488</v>
      </c>
      <c r="I27" s="1">
        <f>(Table1[[#This Row],[SALES PRICE]]-Table1[[#This Row],[UNIT COST]])*Table1[[#This Row],[UNIT PRODUCED]]</f>
        <v>17654</v>
      </c>
    </row>
    <row r="28" spans="2:9" x14ac:dyDescent="0.35">
      <c r="B28" s="1">
        <v>24</v>
      </c>
      <c r="C28" s="2">
        <v>45203</v>
      </c>
      <c r="D28" s="1" t="s">
        <v>29</v>
      </c>
      <c r="E28" s="1">
        <v>196</v>
      </c>
      <c r="F28" s="1">
        <v>75</v>
      </c>
      <c r="G28" s="1">
        <v>172</v>
      </c>
      <c r="H28" s="1">
        <f>(Table1[[#This Row],[UNIT PRODUCED]]*Table1[[#This Row],[SALES PRICE]])</f>
        <v>33712</v>
      </c>
      <c r="I28" s="1">
        <f>(Table1[[#This Row],[SALES PRICE]]-Table1[[#This Row],[UNIT COST]])*Table1[[#This Row],[UNIT PRODUCED]]</f>
        <v>19012</v>
      </c>
    </row>
    <row r="29" spans="2:9" x14ac:dyDescent="0.35">
      <c r="B29" s="1">
        <v>25</v>
      </c>
      <c r="C29" s="2">
        <v>45204</v>
      </c>
      <c r="D29" s="1" t="s">
        <v>30</v>
      </c>
      <c r="E29" s="1">
        <v>184</v>
      </c>
      <c r="F29" s="1">
        <v>70</v>
      </c>
      <c r="G29" s="1">
        <v>167</v>
      </c>
      <c r="H29" s="1">
        <f>(Table1[[#This Row],[UNIT PRODUCED]]*Table1[[#This Row],[SALES PRICE]])</f>
        <v>30728</v>
      </c>
      <c r="I29" s="1">
        <f>(Table1[[#This Row],[SALES PRICE]]-Table1[[#This Row],[UNIT COST]])*Table1[[#This Row],[UNIT PRODUCED]]</f>
        <v>17848</v>
      </c>
    </row>
    <row r="30" spans="2:9" x14ac:dyDescent="0.35">
      <c r="B30" s="1">
        <v>26</v>
      </c>
      <c r="C30" s="2">
        <v>45205</v>
      </c>
      <c r="D30" s="1" t="s">
        <v>31</v>
      </c>
      <c r="E30" s="1">
        <v>197</v>
      </c>
      <c r="F30" s="1">
        <v>79</v>
      </c>
      <c r="G30" s="1">
        <v>176</v>
      </c>
      <c r="H30" s="1">
        <f>(Table1[[#This Row],[UNIT PRODUCED]]*Table1[[#This Row],[SALES PRICE]])</f>
        <v>34672</v>
      </c>
      <c r="I30" s="1">
        <f>(Table1[[#This Row],[SALES PRICE]]-Table1[[#This Row],[UNIT COST]])*Table1[[#This Row],[UNIT PRODUCED]]</f>
        <v>19109</v>
      </c>
    </row>
    <row r="31" spans="2:9" x14ac:dyDescent="0.35">
      <c r="B31" s="1">
        <v>27</v>
      </c>
      <c r="C31" s="2">
        <v>45206</v>
      </c>
      <c r="D31" s="1" t="s">
        <v>32</v>
      </c>
      <c r="E31" s="1">
        <v>227</v>
      </c>
      <c r="F31" s="1">
        <v>94</v>
      </c>
      <c r="G31" s="1">
        <v>191</v>
      </c>
      <c r="H31" s="1">
        <f>(Table1[[#This Row],[UNIT PRODUCED]]*Table1[[#This Row],[SALES PRICE]])</f>
        <v>43357</v>
      </c>
      <c r="I31" s="1">
        <f>(Table1[[#This Row],[SALES PRICE]]-Table1[[#This Row],[UNIT COST]])*Table1[[#This Row],[UNIT PRODUCED]]</f>
        <v>22019</v>
      </c>
    </row>
    <row r="32" spans="2:9" x14ac:dyDescent="0.35">
      <c r="B32" s="1">
        <v>28</v>
      </c>
      <c r="C32" s="2">
        <v>45207</v>
      </c>
      <c r="D32" s="1" t="s">
        <v>33</v>
      </c>
      <c r="E32" s="1">
        <v>225</v>
      </c>
      <c r="F32" s="1">
        <v>83</v>
      </c>
      <c r="G32" s="1">
        <v>180</v>
      </c>
      <c r="H32" s="1">
        <f>(Table1[[#This Row],[UNIT PRODUCED]]*Table1[[#This Row],[SALES PRICE]])</f>
        <v>40500</v>
      </c>
      <c r="I32" s="1">
        <f>(Table1[[#This Row],[SALES PRICE]]-Table1[[#This Row],[UNIT COST]])*Table1[[#This Row],[UNIT PRODUCED]]</f>
        <v>21825</v>
      </c>
    </row>
    <row r="33" spans="2:9" x14ac:dyDescent="0.35">
      <c r="B33" s="1">
        <v>29</v>
      </c>
      <c r="C33" s="2">
        <v>45208</v>
      </c>
      <c r="D33" s="1" t="s">
        <v>34</v>
      </c>
      <c r="E33" s="1">
        <v>193</v>
      </c>
      <c r="F33" s="1">
        <v>90</v>
      </c>
      <c r="G33" s="1">
        <v>187</v>
      </c>
      <c r="H33" s="1">
        <f>(Table1[[#This Row],[UNIT PRODUCED]]*Table1[[#This Row],[SALES PRICE]])</f>
        <v>36091</v>
      </c>
      <c r="I33" s="1">
        <f>(Table1[[#This Row],[SALES PRICE]]-Table1[[#This Row],[UNIT COST]])*Table1[[#This Row],[UNIT PRODUCED]]</f>
        <v>18721</v>
      </c>
    </row>
    <row r="34" spans="2:9" x14ac:dyDescent="0.35">
      <c r="B34" s="1">
        <v>30</v>
      </c>
      <c r="C34" s="2">
        <v>45209</v>
      </c>
      <c r="D34" s="1" t="s">
        <v>35</v>
      </c>
      <c r="E34" s="1">
        <v>230</v>
      </c>
      <c r="F34" s="1">
        <v>80</v>
      </c>
      <c r="G34" s="1">
        <v>177</v>
      </c>
      <c r="H34" s="1">
        <f>(Table1[[#This Row],[UNIT PRODUCED]]*Table1[[#This Row],[SALES PRICE]])</f>
        <v>40710</v>
      </c>
      <c r="I34" s="1">
        <f>(Table1[[#This Row],[SALES PRICE]]-Table1[[#This Row],[UNIT COST]])*Table1[[#This Row],[UNIT PRODUCED]]</f>
        <v>22310</v>
      </c>
    </row>
    <row r="35" spans="2:9" x14ac:dyDescent="0.35">
      <c r="B35" s="1">
        <v>31</v>
      </c>
      <c r="C35" s="2">
        <v>45210</v>
      </c>
      <c r="D35" s="1" t="s">
        <v>36</v>
      </c>
      <c r="E35" s="1">
        <v>194</v>
      </c>
      <c r="F35" s="1">
        <v>100</v>
      </c>
      <c r="G35" s="1">
        <v>197</v>
      </c>
      <c r="H35" s="1">
        <f>(Table1[[#This Row],[UNIT PRODUCED]]*Table1[[#This Row],[SALES PRICE]])</f>
        <v>38218</v>
      </c>
      <c r="I35" s="1">
        <f>(Table1[[#This Row],[SALES PRICE]]-Table1[[#This Row],[UNIT COST]])*Table1[[#This Row],[UNIT PRODUCED]]</f>
        <v>18818</v>
      </c>
    </row>
    <row r="36" spans="2:9" x14ac:dyDescent="0.35">
      <c r="B36" s="1">
        <v>32</v>
      </c>
      <c r="C36" s="2">
        <v>45211</v>
      </c>
      <c r="D36" s="1" t="s">
        <v>37</v>
      </c>
      <c r="E36" s="1">
        <v>189</v>
      </c>
      <c r="F36" s="1">
        <v>86</v>
      </c>
      <c r="G36" s="1">
        <v>183</v>
      </c>
      <c r="H36" s="1">
        <f>(Table1[[#This Row],[UNIT PRODUCED]]*Table1[[#This Row],[SALES PRICE]])</f>
        <v>34587</v>
      </c>
      <c r="I36" s="1">
        <f>(Table1[[#This Row],[SALES PRICE]]-Table1[[#This Row],[UNIT COST]])*Table1[[#This Row],[UNIT PRODUCED]]</f>
        <v>18333</v>
      </c>
    </row>
    <row r="37" spans="2:9" x14ac:dyDescent="0.35">
      <c r="B37" s="1">
        <v>33</v>
      </c>
      <c r="C37" s="2">
        <v>45212</v>
      </c>
      <c r="D37" s="1" t="s">
        <v>38</v>
      </c>
      <c r="E37" s="1">
        <v>201</v>
      </c>
      <c r="F37" s="1">
        <v>93</v>
      </c>
      <c r="G37" s="1">
        <v>190</v>
      </c>
      <c r="H37" s="1">
        <f>(Table1[[#This Row],[UNIT PRODUCED]]*Table1[[#This Row],[SALES PRICE]])</f>
        <v>38190</v>
      </c>
      <c r="I37" s="1">
        <f>(Table1[[#This Row],[SALES PRICE]]-Table1[[#This Row],[UNIT COST]])*Table1[[#This Row],[UNIT PRODUCED]]</f>
        <v>19497</v>
      </c>
    </row>
    <row r="38" spans="2:9" x14ac:dyDescent="0.35">
      <c r="B38" s="1">
        <v>34</v>
      </c>
      <c r="C38" s="2">
        <v>45213</v>
      </c>
      <c r="D38" s="1" t="s">
        <v>39</v>
      </c>
      <c r="E38" s="1">
        <v>204</v>
      </c>
      <c r="F38" s="1">
        <v>85</v>
      </c>
      <c r="G38" s="1">
        <v>182</v>
      </c>
      <c r="H38" s="1">
        <f>(Table1[[#This Row],[UNIT PRODUCED]]*Table1[[#This Row],[SALES PRICE]])</f>
        <v>37128</v>
      </c>
      <c r="I38" s="1">
        <f>(Table1[[#This Row],[SALES PRICE]]-Table1[[#This Row],[UNIT COST]])*Table1[[#This Row],[UNIT PRODUCED]]</f>
        <v>19788</v>
      </c>
    </row>
    <row r="39" spans="2:9" x14ac:dyDescent="0.35">
      <c r="B39" s="1">
        <v>35</v>
      </c>
      <c r="C39" s="2">
        <v>45214</v>
      </c>
      <c r="D39" s="1" t="s">
        <v>40</v>
      </c>
      <c r="E39" s="1">
        <v>226</v>
      </c>
      <c r="F39" s="1">
        <v>72</v>
      </c>
      <c r="G39" s="1">
        <v>169</v>
      </c>
      <c r="H39" s="1">
        <f>(Table1[[#This Row],[UNIT PRODUCED]]*Table1[[#This Row],[SALES PRICE]])</f>
        <v>38194</v>
      </c>
      <c r="I39" s="1">
        <f>(Table1[[#This Row],[SALES PRICE]]-Table1[[#This Row],[UNIT COST]])*Table1[[#This Row],[UNIT PRODUCED]]</f>
        <v>21922</v>
      </c>
    </row>
    <row r="40" spans="2:9" x14ac:dyDescent="0.35">
      <c r="B40" s="1">
        <v>36</v>
      </c>
      <c r="C40" s="2">
        <v>45215</v>
      </c>
      <c r="D40" s="1" t="s">
        <v>41</v>
      </c>
      <c r="E40" s="1">
        <v>235</v>
      </c>
      <c r="F40" s="1">
        <v>96</v>
      </c>
      <c r="G40" s="1">
        <v>193</v>
      </c>
      <c r="H40" s="1">
        <f>(Table1[[#This Row],[UNIT PRODUCED]]*Table1[[#This Row],[SALES PRICE]])</f>
        <v>45355</v>
      </c>
      <c r="I40" s="1">
        <f>(Table1[[#This Row],[SALES PRICE]]-Table1[[#This Row],[UNIT COST]])*Table1[[#This Row],[UNIT PRODUCED]]</f>
        <v>22795</v>
      </c>
    </row>
    <row r="41" spans="2:9" x14ac:dyDescent="0.35">
      <c r="B41" s="1">
        <v>37</v>
      </c>
      <c r="C41" s="2">
        <v>45216</v>
      </c>
      <c r="D41" s="1" t="s">
        <v>42</v>
      </c>
      <c r="E41" s="1">
        <v>200</v>
      </c>
      <c r="F41" s="1">
        <v>74</v>
      </c>
      <c r="G41" s="1">
        <v>171</v>
      </c>
      <c r="H41" s="1">
        <f>(Table1[[#This Row],[UNIT PRODUCED]]*Table1[[#This Row],[SALES PRICE]])</f>
        <v>34200</v>
      </c>
      <c r="I41" s="1">
        <f>(Table1[[#This Row],[SALES PRICE]]-Table1[[#This Row],[UNIT COST]])*Table1[[#This Row],[UNIT PRODUCED]]</f>
        <v>19400</v>
      </c>
    </row>
    <row r="42" spans="2:9" x14ac:dyDescent="0.35">
      <c r="B42" s="1">
        <v>38</v>
      </c>
      <c r="C42" s="2">
        <v>45217</v>
      </c>
      <c r="D42" s="1" t="s">
        <v>43</v>
      </c>
      <c r="E42" s="1">
        <v>186</v>
      </c>
      <c r="F42" s="1">
        <v>89</v>
      </c>
      <c r="G42" s="1">
        <v>186</v>
      </c>
      <c r="H42" s="1">
        <f>(Table1[[#This Row],[UNIT PRODUCED]]*Table1[[#This Row],[SALES PRICE]])</f>
        <v>34596</v>
      </c>
      <c r="I42" s="1">
        <f>(Table1[[#This Row],[SALES PRICE]]-Table1[[#This Row],[UNIT COST]])*Table1[[#This Row],[UNIT PRODUCED]]</f>
        <v>18042</v>
      </c>
    </row>
    <row r="43" spans="2:9" x14ac:dyDescent="0.35">
      <c r="B43" s="1">
        <v>39</v>
      </c>
      <c r="C43" s="2">
        <v>45218</v>
      </c>
      <c r="D43" s="1" t="s">
        <v>44</v>
      </c>
      <c r="E43" s="1">
        <v>198</v>
      </c>
      <c r="F43" s="1">
        <v>77</v>
      </c>
      <c r="G43" s="1">
        <v>174</v>
      </c>
      <c r="H43" s="1">
        <f>(Table1[[#This Row],[UNIT PRODUCED]]*Table1[[#This Row],[SALES PRICE]])</f>
        <v>34452</v>
      </c>
      <c r="I43" s="1">
        <f>(Table1[[#This Row],[SALES PRICE]]-Table1[[#This Row],[UNIT COST]])*Table1[[#This Row],[UNIT PRODUCED]]</f>
        <v>19206</v>
      </c>
    </row>
    <row r="44" spans="2:9" x14ac:dyDescent="0.35">
      <c r="B44" s="1">
        <v>40</v>
      </c>
      <c r="C44" s="2">
        <v>45219</v>
      </c>
      <c r="D44" s="1" t="s">
        <v>45</v>
      </c>
      <c r="E44" s="1">
        <v>216</v>
      </c>
      <c r="F44" s="1">
        <v>98</v>
      </c>
      <c r="G44" s="1">
        <v>195</v>
      </c>
      <c r="H44" s="1">
        <f>(Table1[[#This Row],[UNIT PRODUCED]]*Table1[[#This Row],[SALES PRICE]])</f>
        <v>42120</v>
      </c>
      <c r="I44" s="1">
        <f>(Table1[[#This Row],[SALES PRICE]]-Table1[[#This Row],[UNIT COST]])*Table1[[#This Row],[UNIT PRODUCED]]</f>
        <v>20952</v>
      </c>
    </row>
    <row r="45" spans="2:9" x14ac:dyDescent="0.35">
      <c r="B45" s="1">
        <v>41</v>
      </c>
      <c r="C45" s="2">
        <v>45220</v>
      </c>
      <c r="D45" s="1" t="s">
        <v>46</v>
      </c>
      <c r="E45" s="1">
        <v>189</v>
      </c>
      <c r="F45" s="1">
        <v>71</v>
      </c>
      <c r="G45" s="1">
        <v>168</v>
      </c>
      <c r="H45" s="1">
        <f>(Table1[[#This Row],[UNIT PRODUCED]]*Table1[[#This Row],[SALES PRICE]])</f>
        <v>31752</v>
      </c>
      <c r="I45" s="1">
        <f>(Table1[[#This Row],[SALES PRICE]]-Table1[[#This Row],[UNIT COST]])*Table1[[#This Row],[UNIT PRODUCED]]</f>
        <v>18333</v>
      </c>
    </row>
    <row r="46" spans="2:9" x14ac:dyDescent="0.35">
      <c r="B46" s="1">
        <v>42</v>
      </c>
      <c r="C46" s="2">
        <v>45221</v>
      </c>
      <c r="D46" s="1" t="s">
        <v>47</v>
      </c>
      <c r="E46" s="1">
        <v>232</v>
      </c>
      <c r="F46" s="1">
        <v>81</v>
      </c>
      <c r="G46" s="1">
        <v>178</v>
      </c>
      <c r="H46" s="1">
        <f>(Table1[[#This Row],[UNIT PRODUCED]]*Table1[[#This Row],[SALES PRICE]])</f>
        <v>41296</v>
      </c>
      <c r="I46" s="1">
        <f>(Table1[[#This Row],[SALES PRICE]]-Table1[[#This Row],[UNIT COST]])*Table1[[#This Row],[UNIT PRODUCED]]</f>
        <v>22504</v>
      </c>
    </row>
    <row r="47" spans="2:9" x14ac:dyDescent="0.35">
      <c r="B47" s="1">
        <v>43</v>
      </c>
      <c r="C47" s="2">
        <v>45222</v>
      </c>
      <c r="D47" s="1" t="s">
        <v>48</v>
      </c>
      <c r="E47" s="1">
        <v>207</v>
      </c>
      <c r="F47" s="1">
        <v>95</v>
      </c>
      <c r="G47" s="1">
        <v>192</v>
      </c>
      <c r="H47" s="1">
        <f>(Table1[[#This Row],[UNIT PRODUCED]]*Table1[[#This Row],[SALES PRICE]])</f>
        <v>39744</v>
      </c>
      <c r="I47" s="1">
        <f>(Table1[[#This Row],[SALES PRICE]]-Table1[[#This Row],[UNIT COST]])*Table1[[#This Row],[UNIT PRODUCED]]</f>
        <v>20079</v>
      </c>
    </row>
    <row r="48" spans="2:9" x14ac:dyDescent="0.35">
      <c r="B48" s="1">
        <v>44</v>
      </c>
      <c r="C48" s="2">
        <v>45223</v>
      </c>
      <c r="D48" s="1" t="s">
        <v>49</v>
      </c>
      <c r="E48" s="1">
        <v>199</v>
      </c>
      <c r="F48" s="1">
        <v>73</v>
      </c>
      <c r="G48" s="1">
        <v>170</v>
      </c>
      <c r="H48" s="1">
        <f>(Table1[[#This Row],[UNIT PRODUCED]]*Table1[[#This Row],[SALES PRICE]])</f>
        <v>33830</v>
      </c>
      <c r="I48" s="1">
        <f>(Table1[[#This Row],[SALES PRICE]]-Table1[[#This Row],[UNIT COST]])*Table1[[#This Row],[UNIT PRODUCED]]</f>
        <v>19303</v>
      </c>
    </row>
    <row r="49" spans="2:9" x14ac:dyDescent="0.35">
      <c r="B49" s="1">
        <v>45</v>
      </c>
      <c r="C49" s="2">
        <v>45224</v>
      </c>
      <c r="D49" s="1" t="s">
        <v>50</v>
      </c>
      <c r="E49" s="1">
        <v>238</v>
      </c>
      <c r="F49" s="1">
        <v>82</v>
      </c>
      <c r="G49" s="1">
        <v>179</v>
      </c>
      <c r="H49" s="1">
        <f>(Table1[[#This Row],[UNIT PRODUCED]]*Table1[[#This Row],[SALES PRICE]])</f>
        <v>42602</v>
      </c>
      <c r="I49" s="1">
        <f>(Table1[[#This Row],[SALES PRICE]]-Table1[[#This Row],[UNIT COST]])*Table1[[#This Row],[UNIT PRODUCED]]</f>
        <v>23086</v>
      </c>
    </row>
    <row r="50" spans="2:9" x14ac:dyDescent="0.35">
      <c r="B50" s="1">
        <v>46</v>
      </c>
      <c r="C50" s="2">
        <v>45225</v>
      </c>
      <c r="D50" s="1" t="s">
        <v>51</v>
      </c>
      <c r="E50" s="1">
        <v>214</v>
      </c>
      <c r="F50" s="1">
        <v>78</v>
      </c>
      <c r="G50" s="1">
        <v>175</v>
      </c>
      <c r="H50" s="1">
        <f>(Table1[[#This Row],[UNIT PRODUCED]]*Table1[[#This Row],[SALES PRICE]])</f>
        <v>37450</v>
      </c>
      <c r="I50" s="1">
        <f>(Table1[[#This Row],[SALES PRICE]]-Table1[[#This Row],[UNIT COST]])*Table1[[#This Row],[UNIT PRODUCED]]</f>
        <v>20758</v>
      </c>
    </row>
    <row r="51" spans="2:9" x14ac:dyDescent="0.35">
      <c r="B51" s="1">
        <v>47</v>
      </c>
      <c r="C51" s="2">
        <v>45226</v>
      </c>
      <c r="D51" s="1" t="s">
        <v>52</v>
      </c>
      <c r="E51" s="1">
        <v>184</v>
      </c>
      <c r="F51" s="1">
        <v>88</v>
      </c>
      <c r="G51" s="1">
        <v>185</v>
      </c>
      <c r="H51" s="1">
        <f>(Table1[[#This Row],[UNIT PRODUCED]]*Table1[[#This Row],[SALES PRICE]])</f>
        <v>34040</v>
      </c>
      <c r="I51" s="1">
        <f>(Table1[[#This Row],[SALES PRICE]]-Table1[[#This Row],[UNIT COST]])*Table1[[#This Row],[UNIT PRODUCED]]</f>
        <v>17848</v>
      </c>
    </row>
    <row r="52" spans="2:9" x14ac:dyDescent="0.35">
      <c r="B52" s="1">
        <v>48</v>
      </c>
      <c r="C52" s="2">
        <v>45227</v>
      </c>
      <c r="D52" s="1" t="s">
        <v>53</v>
      </c>
      <c r="E52" s="1">
        <v>233</v>
      </c>
      <c r="F52" s="1">
        <v>76</v>
      </c>
      <c r="G52" s="1">
        <v>173</v>
      </c>
      <c r="H52" s="1">
        <f>(Table1[[#This Row],[UNIT PRODUCED]]*Table1[[#This Row],[SALES PRICE]])</f>
        <v>40309</v>
      </c>
      <c r="I52" s="1">
        <f>(Table1[[#This Row],[SALES PRICE]]-Table1[[#This Row],[UNIT COST]])*Table1[[#This Row],[UNIT PRODUCED]]</f>
        <v>22601</v>
      </c>
    </row>
    <row r="53" spans="2:9" x14ac:dyDescent="0.35">
      <c r="B53" s="1">
        <v>49</v>
      </c>
      <c r="C53" s="2">
        <v>45228</v>
      </c>
      <c r="D53" s="1" t="s">
        <v>54</v>
      </c>
      <c r="E53" s="1">
        <v>191</v>
      </c>
      <c r="F53" s="1">
        <v>91</v>
      </c>
      <c r="G53" s="1">
        <v>188</v>
      </c>
      <c r="H53" s="1">
        <f>(Table1[[#This Row],[UNIT PRODUCED]]*Table1[[#This Row],[SALES PRICE]])</f>
        <v>35908</v>
      </c>
      <c r="I53" s="1">
        <f>(Table1[[#This Row],[SALES PRICE]]-Table1[[#This Row],[UNIT COST]])*Table1[[#This Row],[UNIT PRODUCED]]</f>
        <v>18527</v>
      </c>
    </row>
    <row r="54" spans="2:9" x14ac:dyDescent="0.35">
      <c r="B54" s="1">
        <v>50</v>
      </c>
      <c r="C54" s="2">
        <v>45229</v>
      </c>
      <c r="D54" s="1" t="s">
        <v>55</v>
      </c>
      <c r="E54" s="1">
        <v>212</v>
      </c>
      <c r="F54" s="1">
        <v>84</v>
      </c>
      <c r="G54" s="1">
        <v>181</v>
      </c>
      <c r="H54" s="1">
        <f>(Table1[[#This Row],[UNIT PRODUCED]]*Table1[[#This Row],[SALES PRICE]])</f>
        <v>38372</v>
      </c>
      <c r="I54" s="1">
        <f>(Table1[[#This Row],[SALES PRICE]]-Table1[[#This Row],[UNIT COST]])*Table1[[#This Row],[UNIT PRODUCED]]</f>
        <v>20564</v>
      </c>
    </row>
    <row r="55" spans="2:9" x14ac:dyDescent="0.35">
      <c r="B55" s="1">
        <v>51</v>
      </c>
      <c r="C55" s="2">
        <v>45200</v>
      </c>
      <c r="D55" s="1" t="s">
        <v>56</v>
      </c>
      <c r="E55" s="1">
        <v>208</v>
      </c>
      <c r="F55" s="1">
        <v>99</v>
      </c>
      <c r="G55" s="1">
        <v>196</v>
      </c>
      <c r="H55" s="1">
        <f>(Table1[[#This Row],[UNIT PRODUCED]]*Table1[[#This Row],[SALES PRICE]])</f>
        <v>40768</v>
      </c>
      <c r="I55" s="1">
        <f>(Table1[[#This Row],[SALES PRICE]]-Table1[[#This Row],[UNIT COST]])*Table1[[#This Row],[UNIT PRODUCED]]</f>
        <v>20176</v>
      </c>
    </row>
    <row r="56" spans="2:9" x14ac:dyDescent="0.35">
      <c r="B56" s="1">
        <v>52</v>
      </c>
      <c r="C56" s="2">
        <v>45201</v>
      </c>
      <c r="D56" s="1" t="s">
        <v>57</v>
      </c>
      <c r="E56" s="1">
        <v>194</v>
      </c>
      <c r="F56" s="1">
        <v>92</v>
      </c>
      <c r="G56" s="1">
        <v>189</v>
      </c>
      <c r="H56" s="1">
        <f>(Table1[[#This Row],[UNIT PRODUCED]]*Table1[[#This Row],[SALES PRICE]])</f>
        <v>36666</v>
      </c>
      <c r="I56" s="1">
        <f>(Table1[[#This Row],[SALES PRICE]]-Table1[[#This Row],[UNIT COST]])*Table1[[#This Row],[UNIT PRODUCED]]</f>
        <v>18818</v>
      </c>
    </row>
    <row r="57" spans="2:9" x14ac:dyDescent="0.35">
      <c r="B57" s="1">
        <v>53</v>
      </c>
      <c r="C57" s="2">
        <v>45202</v>
      </c>
      <c r="D57" s="1" t="s">
        <v>58</v>
      </c>
      <c r="E57" s="1">
        <v>201</v>
      </c>
      <c r="F57" s="1">
        <v>97</v>
      </c>
      <c r="G57" s="1">
        <v>194</v>
      </c>
      <c r="H57" s="1">
        <f>(Table1[[#This Row],[UNIT PRODUCED]]*Table1[[#This Row],[SALES PRICE]])</f>
        <v>38994</v>
      </c>
      <c r="I57" s="1">
        <f>(Table1[[#This Row],[SALES PRICE]]-Table1[[#This Row],[UNIT COST]])*Table1[[#This Row],[UNIT PRODUCED]]</f>
        <v>19497</v>
      </c>
    </row>
    <row r="58" spans="2:9" x14ac:dyDescent="0.35">
      <c r="B58" s="1">
        <v>54</v>
      </c>
      <c r="C58" s="2">
        <v>45203</v>
      </c>
      <c r="D58" s="1" t="s">
        <v>59</v>
      </c>
      <c r="E58" s="1">
        <v>223</v>
      </c>
      <c r="F58" s="1">
        <v>87</v>
      </c>
      <c r="G58" s="1">
        <v>184</v>
      </c>
      <c r="H58" s="1">
        <f>(Table1[[#This Row],[UNIT PRODUCED]]*Table1[[#This Row],[SALES PRICE]])</f>
        <v>41032</v>
      </c>
      <c r="I58" s="1">
        <f>(Table1[[#This Row],[SALES PRICE]]-Table1[[#This Row],[UNIT COST]])*Table1[[#This Row],[UNIT PRODUCED]]</f>
        <v>21631</v>
      </c>
    </row>
    <row r="59" spans="2:9" x14ac:dyDescent="0.35">
      <c r="B59" s="1">
        <v>55</v>
      </c>
      <c r="C59" s="2">
        <v>45204</v>
      </c>
      <c r="D59" s="1" t="s">
        <v>60</v>
      </c>
      <c r="E59" s="1">
        <v>221</v>
      </c>
      <c r="F59" s="1">
        <v>75</v>
      </c>
      <c r="G59" s="1">
        <v>172</v>
      </c>
      <c r="H59" s="1">
        <f>(Table1[[#This Row],[UNIT PRODUCED]]*Table1[[#This Row],[SALES PRICE]])</f>
        <v>38012</v>
      </c>
      <c r="I59" s="1">
        <f>(Table1[[#This Row],[SALES PRICE]]-Table1[[#This Row],[UNIT COST]])*Table1[[#This Row],[UNIT PRODUCED]]</f>
        <v>21437</v>
      </c>
    </row>
    <row r="60" spans="2:9" x14ac:dyDescent="0.35">
      <c r="B60" s="1">
        <v>56</v>
      </c>
      <c r="C60" s="2">
        <v>45205</v>
      </c>
      <c r="D60" s="1" t="s">
        <v>61</v>
      </c>
      <c r="E60" s="1">
        <v>181</v>
      </c>
      <c r="F60" s="1">
        <v>70</v>
      </c>
      <c r="G60" s="1">
        <v>167</v>
      </c>
      <c r="H60" s="1">
        <f>(Table1[[#This Row],[UNIT PRODUCED]]*Table1[[#This Row],[SALES PRICE]])</f>
        <v>30227</v>
      </c>
      <c r="I60" s="1">
        <f>(Table1[[#This Row],[SALES PRICE]]-Table1[[#This Row],[UNIT COST]])*Table1[[#This Row],[UNIT PRODUCED]]</f>
        <v>17557</v>
      </c>
    </row>
    <row r="61" spans="2:9" x14ac:dyDescent="0.35">
      <c r="B61" s="1">
        <v>57</v>
      </c>
      <c r="C61" s="2">
        <v>45206</v>
      </c>
      <c r="D61" s="1" t="s">
        <v>62</v>
      </c>
      <c r="E61" s="1">
        <v>197</v>
      </c>
      <c r="F61" s="1">
        <v>79</v>
      </c>
      <c r="G61" s="1">
        <v>176</v>
      </c>
      <c r="H61" s="1">
        <f>(Table1[[#This Row],[UNIT PRODUCED]]*Table1[[#This Row],[SALES PRICE]])</f>
        <v>34672</v>
      </c>
      <c r="I61" s="1">
        <f>(Table1[[#This Row],[SALES PRICE]]-Table1[[#This Row],[UNIT COST]])*Table1[[#This Row],[UNIT PRODUCED]]</f>
        <v>19109</v>
      </c>
    </row>
    <row r="62" spans="2:9" x14ac:dyDescent="0.35">
      <c r="B62" s="1">
        <v>58</v>
      </c>
      <c r="C62" s="2">
        <v>45207</v>
      </c>
      <c r="D62" s="1" t="s">
        <v>63</v>
      </c>
      <c r="E62" s="1">
        <v>210</v>
      </c>
      <c r="F62" s="1">
        <v>94</v>
      </c>
      <c r="G62" s="1">
        <v>191</v>
      </c>
      <c r="H62" s="1">
        <f>(Table1[[#This Row],[UNIT PRODUCED]]*Table1[[#This Row],[SALES PRICE]])</f>
        <v>40110</v>
      </c>
      <c r="I62" s="1">
        <f>(Table1[[#This Row],[SALES PRICE]]-Table1[[#This Row],[UNIT COST]])*Table1[[#This Row],[UNIT PRODUCED]]</f>
        <v>20370</v>
      </c>
    </row>
    <row r="63" spans="2:9" x14ac:dyDescent="0.35">
      <c r="B63" s="1">
        <v>59</v>
      </c>
      <c r="C63" s="2">
        <v>45208</v>
      </c>
      <c r="D63" s="1" t="s">
        <v>64</v>
      </c>
      <c r="E63" s="1">
        <v>239</v>
      </c>
      <c r="F63" s="1">
        <v>83</v>
      </c>
      <c r="G63" s="1">
        <v>180</v>
      </c>
      <c r="H63" s="1">
        <f>(Table1[[#This Row],[UNIT PRODUCED]]*Table1[[#This Row],[SALES PRICE]])</f>
        <v>43020</v>
      </c>
      <c r="I63" s="1">
        <f>(Table1[[#This Row],[SALES PRICE]]-Table1[[#This Row],[UNIT COST]])*Table1[[#This Row],[UNIT PRODUCED]]</f>
        <v>23183</v>
      </c>
    </row>
    <row r="64" spans="2:9" x14ac:dyDescent="0.35">
      <c r="B64" s="1">
        <v>60</v>
      </c>
      <c r="C64" s="2">
        <v>45209</v>
      </c>
      <c r="D64" s="1" t="s">
        <v>65</v>
      </c>
      <c r="E64" s="1">
        <v>185</v>
      </c>
      <c r="F64" s="1">
        <v>90</v>
      </c>
      <c r="G64" s="1">
        <v>187</v>
      </c>
      <c r="H64" s="1">
        <f>(Table1[[#This Row],[UNIT PRODUCED]]*Table1[[#This Row],[SALES PRICE]])</f>
        <v>34595</v>
      </c>
      <c r="I64" s="1">
        <f>(Table1[[#This Row],[SALES PRICE]]-Table1[[#This Row],[UNIT COST]])*Table1[[#This Row],[UNIT PRODUCED]]</f>
        <v>17945</v>
      </c>
    </row>
    <row r="65" spans="2:9" x14ac:dyDescent="0.35">
      <c r="B65" s="1">
        <v>61</v>
      </c>
      <c r="C65" s="2">
        <v>45210</v>
      </c>
      <c r="D65" s="1" t="s">
        <v>66</v>
      </c>
      <c r="E65" s="1">
        <v>220</v>
      </c>
      <c r="F65" s="1">
        <v>80</v>
      </c>
      <c r="G65" s="1">
        <v>177</v>
      </c>
      <c r="H65" s="1">
        <f>(Table1[[#This Row],[UNIT PRODUCED]]*Table1[[#This Row],[SALES PRICE]])</f>
        <v>38940</v>
      </c>
      <c r="I65" s="1">
        <f>(Table1[[#This Row],[SALES PRICE]]-Table1[[#This Row],[UNIT COST]])*Table1[[#This Row],[UNIT PRODUCED]]</f>
        <v>21340</v>
      </c>
    </row>
    <row r="66" spans="2:9" x14ac:dyDescent="0.35">
      <c r="B66" s="1">
        <v>62</v>
      </c>
      <c r="C66" s="2">
        <v>45211</v>
      </c>
      <c r="D66" s="1" t="s">
        <v>67</v>
      </c>
      <c r="E66" s="1">
        <v>186</v>
      </c>
      <c r="F66" s="1">
        <v>100</v>
      </c>
      <c r="G66" s="1">
        <v>197</v>
      </c>
      <c r="H66" s="1">
        <f>(Table1[[#This Row],[UNIT PRODUCED]]*Table1[[#This Row],[SALES PRICE]])</f>
        <v>36642</v>
      </c>
      <c r="I66" s="1">
        <f>(Table1[[#This Row],[SALES PRICE]]-Table1[[#This Row],[UNIT COST]])*Table1[[#This Row],[UNIT PRODUCED]]</f>
        <v>18042</v>
      </c>
    </row>
    <row r="67" spans="2:9" x14ac:dyDescent="0.35">
      <c r="B67" s="1">
        <v>63</v>
      </c>
      <c r="C67" s="2">
        <v>45212</v>
      </c>
      <c r="D67" s="1" t="s">
        <v>68</v>
      </c>
      <c r="E67" s="1">
        <v>206</v>
      </c>
      <c r="F67" s="1">
        <v>94</v>
      </c>
      <c r="G67" s="1">
        <v>191</v>
      </c>
      <c r="H67" s="1">
        <f>(Table1[[#This Row],[UNIT PRODUCED]]*Table1[[#This Row],[SALES PRICE]])</f>
        <v>39346</v>
      </c>
      <c r="I67" s="1">
        <f>(Table1[[#This Row],[SALES PRICE]]-Table1[[#This Row],[UNIT COST]])*Table1[[#This Row],[UNIT PRODUCED]]</f>
        <v>19982</v>
      </c>
    </row>
    <row r="68" spans="2:9" x14ac:dyDescent="0.35">
      <c r="B68" s="1">
        <v>64</v>
      </c>
      <c r="C68" s="2">
        <v>45213</v>
      </c>
      <c r="D68" s="1" t="s">
        <v>69</v>
      </c>
      <c r="E68" s="1">
        <v>236</v>
      </c>
      <c r="F68" s="1">
        <v>78</v>
      </c>
      <c r="G68" s="1">
        <v>175</v>
      </c>
      <c r="H68" s="1">
        <f>(Table1[[#This Row],[UNIT PRODUCED]]*Table1[[#This Row],[SALES PRICE]])</f>
        <v>41300</v>
      </c>
      <c r="I68" s="1">
        <f>(Table1[[#This Row],[SALES PRICE]]-Table1[[#This Row],[UNIT COST]])*Table1[[#This Row],[UNIT PRODUCED]]</f>
        <v>22892</v>
      </c>
    </row>
    <row r="69" spans="2:9" x14ac:dyDescent="0.35">
      <c r="B69" s="1">
        <v>65</v>
      </c>
      <c r="C69" s="2">
        <v>45214</v>
      </c>
      <c r="D69" s="1" t="s">
        <v>70</v>
      </c>
      <c r="E69" s="1">
        <v>226</v>
      </c>
      <c r="F69" s="1">
        <v>87</v>
      </c>
      <c r="G69" s="1">
        <v>184</v>
      </c>
      <c r="H69" s="1">
        <f>(Table1[[#This Row],[UNIT PRODUCED]]*Table1[[#This Row],[SALES PRICE]])</f>
        <v>41584</v>
      </c>
      <c r="I69" s="1">
        <f>(Table1[[#This Row],[SALES PRICE]]-Table1[[#This Row],[UNIT COST]])*Table1[[#This Row],[UNIT PRODUCED]]</f>
        <v>21922</v>
      </c>
    </row>
    <row r="70" spans="2:9" x14ac:dyDescent="0.35">
      <c r="B70" s="1">
        <v>66</v>
      </c>
      <c r="C70" s="2">
        <v>45215</v>
      </c>
      <c r="D70" s="1" t="s">
        <v>71</v>
      </c>
      <c r="E70" s="1">
        <v>183</v>
      </c>
      <c r="F70" s="1">
        <v>71</v>
      </c>
      <c r="G70" s="1">
        <v>168</v>
      </c>
      <c r="H70" s="1">
        <f>(Table1[[#This Row],[UNIT PRODUCED]]*Table1[[#This Row],[SALES PRICE]])</f>
        <v>30744</v>
      </c>
      <c r="I70" s="1">
        <f>(Table1[[#This Row],[SALES PRICE]]-Table1[[#This Row],[UNIT COST]])*Table1[[#This Row],[UNIT PRODUCED]]</f>
        <v>17751</v>
      </c>
    </row>
    <row r="71" spans="2:9" x14ac:dyDescent="0.35">
      <c r="B71" s="1">
        <v>67</v>
      </c>
      <c r="C71" s="2">
        <v>45216</v>
      </c>
      <c r="D71" s="1" t="s">
        <v>72</v>
      </c>
      <c r="E71" s="1">
        <v>229</v>
      </c>
      <c r="F71" s="1">
        <v>83</v>
      </c>
      <c r="G71" s="1">
        <v>180</v>
      </c>
      <c r="H71" s="1">
        <f>(Table1[[#This Row],[UNIT PRODUCED]]*Table1[[#This Row],[SALES PRICE]])</f>
        <v>41220</v>
      </c>
      <c r="I71" s="1">
        <f>(Table1[[#This Row],[SALES PRICE]]-Table1[[#This Row],[UNIT COST]])*Table1[[#This Row],[UNIT PRODUCED]]</f>
        <v>22213</v>
      </c>
    </row>
    <row r="72" spans="2:9" x14ac:dyDescent="0.35">
      <c r="B72" s="1">
        <v>68</v>
      </c>
      <c r="C72" s="2">
        <v>45217</v>
      </c>
      <c r="D72" s="1" t="s">
        <v>73</v>
      </c>
      <c r="E72" s="1">
        <v>211</v>
      </c>
      <c r="F72" s="1">
        <v>96</v>
      </c>
      <c r="G72" s="1">
        <v>193</v>
      </c>
      <c r="H72" s="1">
        <f>(Table1[[#This Row],[UNIT PRODUCED]]*Table1[[#This Row],[SALES PRICE]])</f>
        <v>40723</v>
      </c>
      <c r="I72" s="1">
        <f>(Table1[[#This Row],[SALES PRICE]]-Table1[[#This Row],[UNIT COST]])*Table1[[#This Row],[UNIT PRODUCED]]</f>
        <v>20467</v>
      </c>
    </row>
    <row r="73" spans="2:9" x14ac:dyDescent="0.35">
      <c r="B73" s="1">
        <v>69</v>
      </c>
      <c r="C73" s="2">
        <v>45218</v>
      </c>
      <c r="D73" s="1" t="s">
        <v>74</v>
      </c>
      <c r="E73" s="1">
        <v>210</v>
      </c>
      <c r="F73" s="1">
        <v>72</v>
      </c>
      <c r="G73" s="1">
        <v>169</v>
      </c>
      <c r="H73" s="1">
        <f>(Table1[[#This Row],[UNIT PRODUCED]]*Table1[[#This Row],[SALES PRICE]])</f>
        <v>35490</v>
      </c>
      <c r="I73" s="1">
        <f>(Table1[[#This Row],[SALES PRICE]]-Table1[[#This Row],[UNIT COST]])*Table1[[#This Row],[UNIT PRODUCED]]</f>
        <v>20370</v>
      </c>
    </row>
    <row r="74" spans="2:9" x14ac:dyDescent="0.35">
      <c r="B74" s="1">
        <v>70</v>
      </c>
      <c r="C74" s="2">
        <v>45219</v>
      </c>
      <c r="D74" s="1" t="s">
        <v>75</v>
      </c>
      <c r="E74" s="1">
        <v>231</v>
      </c>
      <c r="F74" s="1">
        <v>89</v>
      </c>
      <c r="G74" s="1">
        <v>186</v>
      </c>
      <c r="H74" s="1">
        <f>(Table1[[#This Row],[UNIT PRODUCED]]*Table1[[#This Row],[SALES PRICE]])</f>
        <v>42966</v>
      </c>
      <c r="I74" s="1">
        <f>(Table1[[#This Row],[SALES PRICE]]-Table1[[#This Row],[UNIT COST]])*Table1[[#This Row],[UNIT PRODUCED]]</f>
        <v>22407</v>
      </c>
    </row>
    <row r="75" spans="2:9" x14ac:dyDescent="0.35">
      <c r="B75" s="1">
        <v>71</v>
      </c>
      <c r="C75" s="2">
        <v>45220</v>
      </c>
      <c r="D75" s="1" t="s">
        <v>76</v>
      </c>
      <c r="E75" s="1">
        <v>195</v>
      </c>
      <c r="F75" s="1">
        <v>79</v>
      </c>
      <c r="G75" s="1">
        <v>176</v>
      </c>
      <c r="H75" s="1">
        <f>(Table1[[#This Row],[UNIT PRODUCED]]*Table1[[#This Row],[SALES PRICE]])</f>
        <v>34320</v>
      </c>
      <c r="I75" s="1">
        <f>(Table1[[#This Row],[SALES PRICE]]-Table1[[#This Row],[UNIT COST]])*Table1[[#This Row],[UNIT PRODUCED]]</f>
        <v>18915</v>
      </c>
    </row>
    <row r="76" spans="2:9" x14ac:dyDescent="0.35">
      <c r="B76" s="1">
        <v>72</v>
      </c>
      <c r="C76" s="2">
        <v>45221</v>
      </c>
      <c r="D76" s="1" t="s">
        <v>77</v>
      </c>
      <c r="E76" s="1">
        <v>204</v>
      </c>
      <c r="F76" s="1">
        <v>70</v>
      </c>
      <c r="G76" s="1">
        <v>167</v>
      </c>
      <c r="H76" s="1">
        <f>(Table1[[#This Row],[UNIT PRODUCED]]*Table1[[#This Row],[SALES PRICE]])</f>
        <v>34068</v>
      </c>
      <c r="I76" s="1">
        <f>(Table1[[#This Row],[SALES PRICE]]-Table1[[#This Row],[UNIT COST]])*Table1[[#This Row],[UNIT PRODUCED]]</f>
        <v>19788</v>
      </c>
    </row>
    <row r="77" spans="2:9" x14ac:dyDescent="0.35">
      <c r="B77" s="1">
        <v>73</v>
      </c>
      <c r="C77" s="2">
        <v>45222</v>
      </c>
      <c r="D77" s="1" t="s">
        <v>78</v>
      </c>
      <c r="E77" s="1">
        <v>225</v>
      </c>
      <c r="F77" s="1">
        <v>88</v>
      </c>
      <c r="G77" s="1">
        <v>185</v>
      </c>
      <c r="H77" s="1">
        <f>(Table1[[#This Row],[UNIT PRODUCED]]*Table1[[#This Row],[SALES PRICE]])</f>
        <v>41625</v>
      </c>
      <c r="I77" s="1">
        <f>(Table1[[#This Row],[SALES PRICE]]-Table1[[#This Row],[UNIT COST]])*Table1[[#This Row],[UNIT PRODUCED]]</f>
        <v>21825</v>
      </c>
    </row>
    <row r="78" spans="2:9" x14ac:dyDescent="0.35">
      <c r="B78" s="1">
        <v>74</v>
      </c>
      <c r="C78" s="2">
        <v>45223</v>
      </c>
      <c r="D78" s="1" t="s">
        <v>79</v>
      </c>
      <c r="E78" s="1">
        <v>182</v>
      </c>
      <c r="F78" s="1">
        <v>95</v>
      </c>
      <c r="G78" s="1">
        <v>192</v>
      </c>
      <c r="H78" s="1">
        <f>(Table1[[#This Row],[UNIT PRODUCED]]*Table1[[#This Row],[SALES PRICE]])</f>
        <v>34944</v>
      </c>
      <c r="I78" s="1">
        <f>(Table1[[#This Row],[SALES PRICE]]-Table1[[#This Row],[UNIT COST]])*Table1[[#This Row],[UNIT PRODUCED]]</f>
        <v>17654</v>
      </c>
    </row>
    <row r="79" spans="2:9" x14ac:dyDescent="0.35">
      <c r="B79" s="1">
        <v>75</v>
      </c>
      <c r="C79" s="2">
        <v>45224</v>
      </c>
      <c r="D79" s="1" t="s">
        <v>24</v>
      </c>
      <c r="E79" s="1">
        <v>237</v>
      </c>
      <c r="F79" s="1">
        <v>74</v>
      </c>
      <c r="G79" s="1">
        <v>171</v>
      </c>
      <c r="H79" s="1">
        <f>(Table1[[#This Row],[UNIT PRODUCED]]*Table1[[#This Row],[SALES PRICE]])</f>
        <v>40527</v>
      </c>
      <c r="I79" s="1">
        <f>(Table1[[#This Row],[SALES PRICE]]-Table1[[#This Row],[UNIT COST]])*Table1[[#This Row],[UNIT PRODUCED]]</f>
        <v>22989</v>
      </c>
    </row>
    <row r="80" spans="2:9" x14ac:dyDescent="0.35">
      <c r="B80" s="1">
        <v>76</v>
      </c>
      <c r="C80" s="2">
        <v>45225</v>
      </c>
      <c r="D80" s="1" t="s">
        <v>80</v>
      </c>
      <c r="E80" s="1">
        <v>207</v>
      </c>
      <c r="F80" s="1">
        <v>81</v>
      </c>
      <c r="G80" s="1">
        <v>178</v>
      </c>
      <c r="H80" s="1">
        <f>(Table1[[#This Row],[UNIT PRODUCED]]*Table1[[#This Row],[SALES PRICE]])</f>
        <v>36846</v>
      </c>
      <c r="I80" s="1">
        <f>(Table1[[#This Row],[SALES PRICE]]-Table1[[#This Row],[UNIT COST]])*Table1[[#This Row],[UNIT PRODUCED]]</f>
        <v>20079</v>
      </c>
    </row>
    <row r="81" spans="2:9" x14ac:dyDescent="0.35">
      <c r="B81" s="1">
        <v>77</v>
      </c>
      <c r="C81" s="2">
        <v>45226</v>
      </c>
      <c r="D81" s="1" t="s">
        <v>81</v>
      </c>
      <c r="E81" s="1">
        <v>232</v>
      </c>
      <c r="F81" s="1">
        <v>90</v>
      </c>
      <c r="G81" s="1">
        <v>187</v>
      </c>
      <c r="H81" s="1">
        <f>(Table1[[#This Row],[UNIT PRODUCED]]*Table1[[#This Row],[SALES PRICE]])</f>
        <v>43384</v>
      </c>
      <c r="I81" s="1">
        <f>(Table1[[#This Row],[SALES PRICE]]-Table1[[#This Row],[UNIT COST]])*Table1[[#This Row],[UNIT PRODUCED]]</f>
        <v>22504</v>
      </c>
    </row>
    <row r="82" spans="2:9" x14ac:dyDescent="0.35">
      <c r="B82" s="1">
        <v>78</v>
      </c>
      <c r="C82" s="2">
        <v>45227</v>
      </c>
      <c r="D82" s="1" t="s">
        <v>82</v>
      </c>
      <c r="E82" s="1">
        <v>202</v>
      </c>
      <c r="F82" s="1">
        <v>73</v>
      </c>
      <c r="G82" s="1">
        <v>170</v>
      </c>
      <c r="H82" s="1">
        <f>(Table1[[#This Row],[UNIT PRODUCED]]*Table1[[#This Row],[SALES PRICE]])</f>
        <v>34340</v>
      </c>
      <c r="I82" s="1">
        <f>(Table1[[#This Row],[SALES PRICE]]-Table1[[#This Row],[UNIT COST]])*Table1[[#This Row],[UNIT PRODUCED]]</f>
        <v>19594</v>
      </c>
    </row>
    <row r="83" spans="2:9" x14ac:dyDescent="0.35">
      <c r="B83" s="1">
        <v>79</v>
      </c>
      <c r="C83" s="2">
        <v>45228</v>
      </c>
      <c r="D83" s="1" t="s">
        <v>83</v>
      </c>
      <c r="E83" s="1">
        <v>229</v>
      </c>
      <c r="F83" s="1">
        <v>84</v>
      </c>
      <c r="G83" s="1">
        <v>181</v>
      </c>
      <c r="H83" s="1">
        <f>(Table1[[#This Row],[UNIT PRODUCED]]*Table1[[#This Row],[SALES PRICE]])</f>
        <v>41449</v>
      </c>
      <c r="I83" s="1">
        <f>(Table1[[#This Row],[SALES PRICE]]-Table1[[#This Row],[UNIT COST]])*Table1[[#This Row],[UNIT PRODUCED]]</f>
        <v>22213</v>
      </c>
    </row>
    <row r="84" spans="2:9" x14ac:dyDescent="0.35">
      <c r="B84" s="1">
        <v>80</v>
      </c>
      <c r="C84" s="2">
        <v>45229</v>
      </c>
      <c r="D84" s="1" t="s">
        <v>84</v>
      </c>
      <c r="E84" s="1">
        <v>193</v>
      </c>
      <c r="F84" s="1">
        <v>77</v>
      </c>
      <c r="G84" s="1">
        <v>174</v>
      </c>
      <c r="H84" s="1">
        <f>(Table1[[#This Row],[UNIT PRODUCED]]*Table1[[#This Row],[SALES PRICE]])</f>
        <v>33582</v>
      </c>
      <c r="I84" s="1">
        <f>(Table1[[#This Row],[SALES PRICE]]-Table1[[#This Row],[UNIT COST]])*Table1[[#This Row],[UNIT PRODUCED]]</f>
        <v>18721</v>
      </c>
    </row>
    <row r="85" spans="2:9" x14ac:dyDescent="0.35">
      <c r="B85" s="1">
        <v>81</v>
      </c>
      <c r="C85" s="2">
        <v>45230</v>
      </c>
      <c r="D85" s="1" t="s">
        <v>85</v>
      </c>
      <c r="E85" s="1">
        <v>189</v>
      </c>
      <c r="F85" s="1">
        <v>93</v>
      </c>
      <c r="G85" s="1">
        <v>190</v>
      </c>
      <c r="H85" s="1">
        <f>(Table1[[#This Row],[UNIT PRODUCED]]*Table1[[#This Row],[SALES PRICE]])</f>
        <v>35910</v>
      </c>
      <c r="I85" s="1">
        <f>(Table1[[#This Row],[SALES PRICE]]-Table1[[#This Row],[UNIT COST]])*Table1[[#This Row],[UNIT PRODUCED]]</f>
        <v>18333</v>
      </c>
    </row>
    <row r="86" spans="2:9" x14ac:dyDescent="0.35">
      <c r="B86" s="1">
        <v>82</v>
      </c>
      <c r="C86" s="2">
        <v>45231</v>
      </c>
      <c r="D86" s="1" t="s">
        <v>86</v>
      </c>
      <c r="E86" s="1">
        <v>200</v>
      </c>
      <c r="F86" s="1">
        <v>76</v>
      </c>
      <c r="G86" s="1">
        <v>173</v>
      </c>
      <c r="H86" s="1">
        <f>(Table1[[#This Row],[UNIT PRODUCED]]*Table1[[#This Row],[SALES PRICE]])</f>
        <v>34600</v>
      </c>
      <c r="I86" s="1">
        <f>(Table1[[#This Row],[SALES PRICE]]-Table1[[#This Row],[UNIT COST]])*Table1[[#This Row],[UNIT PRODUCED]]</f>
        <v>19400</v>
      </c>
    </row>
    <row r="87" spans="2:9" x14ac:dyDescent="0.35">
      <c r="B87" s="1">
        <v>83</v>
      </c>
      <c r="C87" s="2">
        <v>45232</v>
      </c>
      <c r="D87" s="1" t="s">
        <v>87</v>
      </c>
      <c r="E87" s="1">
        <v>227</v>
      </c>
      <c r="F87" s="1">
        <v>98</v>
      </c>
      <c r="G87" s="1">
        <v>195</v>
      </c>
      <c r="H87" s="1">
        <f>(Table1[[#This Row],[UNIT PRODUCED]]*Table1[[#This Row],[SALES PRICE]])</f>
        <v>44265</v>
      </c>
      <c r="I87" s="1">
        <f>(Table1[[#This Row],[SALES PRICE]]-Table1[[#This Row],[UNIT COST]])*Table1[[#This Row],[UNIT PRODUCED]]</f>
        <v>22019</v>
      </c>
    </row>
    <row r="88" spans="2:9" x14ac:dyDescent="0.35">
      <c r="B88" s="1">
        <v>84</v>
      </c>
      <c r="C88" s="2">
        <v>45233</v>
      </c>
      <c r="D88" s="1" t="s">
        <v>88</v>
      </c>
      <c r="E88" s="1">
        <v>182</v>
      </c>
      <c r="F88" s="1">
        <v>91</v>
      </c>
      <c r="G88" s="1">
        <v>188</v>
      </c>
      <c r="H88" s="1">
        <f>(Table1[[#This Row],[UNIT PRODUCED]]*Table1[[#This Row],[SALES PRICE]])</f>
        <v>34216</v>
      </c>
      <c r="I88" s="1">
        <f>(Table1[[#This Row],[SALES PRICE]]-Table1[[#This Row],[UNIT COST]])*Table1[[#This Row],[UNIT PRODUCED]]</f>
        <v>17654</v>
      </c>
    </row>
    <row r="89" spans="2:9" x14ac:dyDescent="0.35">
      <c r="B89" s="1">
        <v>85</v>
      </c>
      <c r="C89" s="2">
        <v>45234</v>
      </c>
      <c r="D89" s="1" t="s">
        <v>89</v>
      </c>
      <c r="E89" s="1">
        <v>219</v>
      </c>
      <c r="F89" s="1">
        <v>82</v>
      </c>
      <c r="G89" s="1">
        <v>179</v>
      </c>
      <c r="H89" s="1">
        <f>(Table1[[#This Row],[UNIT PRODUCED]]*Table1[[#This Row],[SALES PRICE]])</f>
        <v>39201</v>
      </c>
      <c r="I89" s="1">
        <f>(Table1[[#This Row],[SALES PRICE]]-Table1[[#This Row],[UNIT COST]])*Table1[[#This Row],[UNIT PRODUCED]]</f>
        <v>21243</v>
      </c>
    </row>
    <row r="90" spans="2:9" x14ac:dyDescent="0.35">
      <c r="B90" s="1">
        <v>86</v>
      </c>
      <c r="C90" s="2">
        <v>45235</v>
      </c>
      <c r="D90" s="1" t="s">
        <v>90</v>
      </c>
      <c r="E90" s="1">
        <v>191</v>
      </c>
      <c r="F90" s="1">
        <v>99</v>
      </c>
      <c r="G90" s="1">
        <v>196</v>
      </c>
      <c r="H90" s="1">
        <f>(Table1[[#This Row],[UNIT PRODUCED]]*Table1[[#This Row],[SALES PRICE]])</f>
        <v>37436</v>
      </c>
      <c r="I90" s="1">
        <f>(Table1[[#This Row],[SALES PRICE]]-Table1[[#This Row],[UNIT COST]])*Table1[[#This Row],[UNIT PRODUCED]]</f>
        <v>18527</v>
      </c>
    </row>
    <row r="91" spans="2:9" x14ac:dyDescent="0.35">
      <c r="B91" s="1">
        <v>87</v>
      </c>
      <c r="C91" s="2">
        <v>45236</v>
      </c>
      <c r="D91" s="1" t="s">
        <v>91</v>
      </c>
      <c r="E91" s="1">
        <v>203</v>
      </c>
      <c r="F91" s="1">
        <v>85</v>
      </c>
      <c r="G91" s="1">
        <v>182</v>
      </c>
      <c r="H91" s="1">
        <f>(Table1[[#This Row],[UNIT PRODUCED]]*Table1[[#This Row],[SALES PRICE]])</f>
        <v>36946</v>
      </c>
      <c r="I91" s="1">
        <f>(Table1[[#This Row],[SALES PRICE]]-Table1[[#This Row],[UNIT COST]])*Table1[[#This Row],[UNIT PRODUCED]]</f>
        <v>19691</v>
      </c>
    </row>
    <row r="92" spans="2:9" x14ac:dyDescent="0.35">
      <c r="B92" s="1">
        <v>88</v>
      </c>
      <c r="C92" s="2">
        <v>45237</v>
      </c>
      <c r="D92" s="1" t="s">
        <v>92</v>
      </c>
      <c r="E92" s="1">
        <v>218</v>
      </c>
      <c r="F92" s="1">
        <v>75</v>
      </c>
      <c r="G92" s="1">
        <v>172</v>
      </c>
      <c r="H92" s="1">
        <f>(Table1[[#This Row],[UNIT PRODUCED]]*Table1[[#This Row],[SALES PRICE]])</f>
        <v>37496</v>
      </c>
      <c r="I92" s="1">
        <f>(Table1[[#This Row],[SALES PRICE]]-Table1[[#This Row],[UNIT COST]])*Table1[[#This Row],[UNIT PRODUCED]]</f>
        <v>21146</v>
      </c>
    </row>
    <row r="93" spans="2:9" x14ac:dyDescent="0.35">
      <c r="B93" s="1">
        <v>89</v>
      </c>
      <c r="C93" s="2">
        <v>45238</v>
      </c>
      <c r="D93" s="1" t="s">
        <v>93</v>
      </c>
      <c r="E93" s="1">
        <v>205</v>
      </c>
      <c r="F93" s="1">
        <v>97</v>
      </c>
      <c r="G93" s="1">
        <v>194</v>
      </c>
      <c r="H93" s="1">
        <f>(Table1[[#This Row],[UNIT PRODUCED]]*Table1[[#This Row],[SALES PRICE]])</f>
        <v>39770</v>
      </c>
      <c r="I93" s="1">
        <f>(Table1[[#This Row],[SALES PRICE]]-Table1[[#This Row],[UNIT COST]])*Table1[[#This Row],[UNIT PRODUCED]]</f>
        <v>19885</v>
      </c>
    </row>
    <row r="94" spans="2:9" x14ac:dyDescent="0.35">
      <c r="B94" s="1">
        <v>90</v>
      </c>
      <c r="C94" s="2">
        <v>45200</v>
      </c>
      <c r="D94" s="1" t="s">
        <v>94</v>
      </c>
      <c r="E94" s="1">
        <v>233</v>
      </c>
      <c r="F94" s="1">
        <v>86</v>
      </c>
      <c r="G94" s="1">
        <v>183</v>
      </c>
      <c r="H94" s="1">
        <f>(Table1[[#This Row],[UNIT PRODUCED]]*Table1[[#This Row],[SALES PRICE]])</f>
        <v>42639</v>
      </c>
      <c r="I94" s="1">
        <f>(Table1[[#This Row],[SALES PRICE]]-Table1[[#This Row],[UNIT COST]])*Table1[[#This Row],[UNIT PRODUCED]]</f>
        <v>22601</v>
      </c>
    </row>
    <row r="95" spans="2:9" x14ac:dyDescent="0.35">
      <c r="B95" s="1">
        <v>91</v>
      </c>
      <c r="C95" s="2">
        <v>45201</v>
      </c>
      <c r="D95" s="1" t="s">
        <v>95</v>
      </c>
      <c r="E95" s="1">
        <v>221</v>
      </c>
      <c r="F95" s="1">
        <v>80</v>
      </c>
      <c r="G95" s="1">
        <v>177</v>
      </c>
      <c r="H95" s="1">
        <f>(Table1[[#This Row],[UNIT PRODUCED]]*Table1[[#This Row],[SALES PRICE]])</f>
        <v>39117</v>
      </c>
      <c r="I95" s="1">
        <f>(Table1[[#This Row],[SALES PRICE]]-Table1[[#This Row],[UNIT COST]])*Table1[[#This Row],[UNIT PRODUCED]]</f>
        <v>21437</v>
      </c>
    </row>
    <row r="96" spans="2:9" x14ac:dyDescent="0.35">
      <c r="B96" s="1">
        <v>92</v>
      </c>
      <c r="C96" s="2">
        <v>45202</v>
      </c>
      <c r="D96" s="1" t="s">
        <v>96</v>
      </c>
      <c r="E96" s="1">
        <v>216</v>
      </c>
      <c r="F96" s="1">
        <v>92</v>
      </c>
      <c r="G96" s="1">
        <v>189</v>
      </c>
      <c r="H96" s="1">
        <f>(Table1[[#This Row],[UNIT PRODUCED]]*Table1[[#This Row],[SALES PRICE]])</f>
        <v>40824</v>
      </c>
      <c r="I96" s="1">
        <f>(Table1[[#This Row],[SALES PRICE]]-Table1[[#This Row],[UNIT COST]])*Table1[[#This Row],[UNIT PRODUCED]]</f>
        <v>20952</v>
      </c>
    </row>
    <row r="97" spans="2:9" x14ac:dyDescent="0.35">
      <c r="B97" s="1">
        <v>93</v>
      </c>
      <c r="C97" s="2">
        <v>45203</v>
      </c>
      <c r="D97" s="1" t="s">
        <v>97</v>
      </c>
      <c r="E97" s="1">
        <v>185</v>
      </c>
      <c r="F97" s="1">
        <v>81</v>
      </c>
      <c r="G97" s="1">
        <v>178</v>
      </c>
      <c r="H97" s="1">
        <f>(Table1[[#This Row],[UNIT PRODUCED]]*Table1[[#This Row],[SALES PRICE]])</f>
        <v>32930</v>
      </c>
      <c r="I97" s="1">
        <f>(Table1[[#This Row],[SALES PRICE]]-Table1[[#This Row],[UNIT COST]])*Table1[[#This Row],[UNIT PRODUCED]]</f>
        <v>17945</v>
      </c>
    </row>
    <row r="98" spans="2:9" x14ac:dyDescent="0.35">
      <c r="B98" s="1">
        <v>94</v>
      </c>
      <c r="C98" s="2">
        <v>45204</v>
      </c>
      <c r="D98" s="1" t="s">
        <v>98</v>
      </c>
      <c r="E98" s="1">
        <v>237</v>
      </c>
      <c r="F98" s="1">
        <v>76</v>
      </c>
      <c r="G98" s="1">
        <v>173</v>
      </c>
      <c r="H98" s="1">
        <f>(Table1[[#This Row],[UNIT PRODUCED]]*Table1[[#This Row],[SALES PRICE]])</f>
        <v>41001</v>
      </c>
      <c r="I98" s="1">
        <f>(Table1[[#This Row],[SALES PRICE]]-Table1[[#This Row],[UNIT COST]])*Table1[[#This Row],[UNIT PRODUCED]]</f>
        <v>22989</v>
      </c>
    </row>
    <row r="99" spans="2:9" x14ac:dyDescent="0.35">
      <c r="B99" s="1">
        <v>95</v>
      </c>
      <c r="C99" s="2">
        <v>45205</v>
      </c>
      <c r="D99" s="1" t="s">
        <v>99</v>
      </c>
      <c r="E99" s="1">
        <v>195</v>
      </c>
      <c r="F99" s="1">
        <v>88</v>
      </c>
      <c r="G99" s="1">
        <v>185</v>
      </c>
      <c r="H99" s="1">
        <f>(Table1[[#This Row],[UNIT PRODUCED]]*Table1[[#This Row],[SALES PRICE]])</f>
        <v>36075</v>
      </c>
      <c r="I99" s="1">
        <f>(Table1[[#This Row],[SALES PRICE]]-Table1[[#This Row],[UNIT COST]])*Table1[[#This Row],[UNIT PRODUCED]]</f>
        <v>18915</v>
      </c>
    </row>
    <row r="100" spans="2:9" x14ac:dyDescent="0.35">
      <c r="B100" s="1">
        <v>96</v>
      </c>
      <c r="C100" s="2">
        <v>45206</v>
      </c>
      <c r="D100" s="1" t="s">
        <v>100</v>
      </c>
      <c r="E100" s="1">
        <v>188</v>
      </c>
      <c r="F100" s="1">
        <v>97</v>
      </c>
      <c r="G100" s="1">
        <v>194</v>
      </c>
      <c r="H100" s="1">
        <f>(Table1[[#This Row],[UNIT PRODUCED]]*Table1[[#This Row],[SALES PRICE]])</f>
        <v>36472</v>
      </c>
      <c r="I100" s="1">
        <f>(Table1[[#This Row],[SALES PRICE]]-Table1[[#This Row],[UNIT COST]])*Table1[[#This Row],[UNIT PRODUCED]]</f>
        <v>18236</v>
      </c>
    </row>
    <row r="101" spans="2:9" x14ac:dyDescent="0.35">
      <c r="B101" s="1">
        <v>97</v>
      </c>
      <c r="C101" s="2">
        <v>45207</v>
      </c>
      <c r="D101" s="1" t="s">
        <v>101</v>
      </c>
      <c r="E101" s="1">
        <v>208</v>
      </c>
      <c r="F101" s="1">
        <v>70</v>
      </c>
      <c r="G101" s="1">
        <v>167</v>
      </c>
      <c r="H101" s="1">
        <f>(Table1[[#This Row],[UNIT PRODUCED]]*Table1[[#This Row],[SALES PRICE]])</f>
        <v>34736</v>
      </c>
      <c r="I101" s="1">
        <f>(Table1[[#This Row],[SALES PRICE]]-Table1[[#This Row],[UNIT COST]])*Table1[[#This Row],[UNIT PRODUCED]]</f>
        <v>20176</v>
      </c>
    </row>
    <row r="102" spans="2:9" x14ac:dyDescent="0.35">
      <c r="B102" s="1">
        <v>98</v>
      </c>
      <c r="C102" s="2">
        <v>45208</v>
      </c>
      <c r="D102" s="1" t="s">
        <v>102</v>
      </c>
      <c r="E102" s="1">
        <v>221</v>
      </c>
      <c r="F102" s="1">
        <v>95</v>
      </c>
      <c r="G102" s="1">
        <v>192</v>
      </c>
      <c r="H102" s="1">
        <f>(Table1[[#This Row],[UNIT PRODUCED]]*Table1[[#This Row],[SALES PRICE]])</f>
        <v>42432</v>
      </c>
      <c r="I102" s="1">
        <f>(Table1[[#This Row],[SALES PRICE]]-Table1[[#This Row],[UNIT COST]])*Table1[[#This Row],[UNIT PRODUCED]]</f>
        <v>21437</v>
      </c>
    </row>
    <row r="103" spans="2:9" x14ac:dyDescent="0.35">
      <c r="B103" s="1">
        <v>99</v>
      </c>
      <c r="C103" s="2">
        <v>45209</v>
      </c>
      <c r="D103" s="1" t="s">
        <v>103</v>
      </c>
      <c r="E103" s="1">
        <v>224</v>
      </c>
      <c r="F103" s="1">
        <v>74</v>
      </c>
      <c r="G103" s="1">
        <v>171</v>
      </c>
      <c r="H103" s="1">
        <f>(Table1[[#This Row],[UNIT PRODUCED]]*Table1[[#This Row],[SALES PRICE]])</f>
        <v>38304</v>
      </c>
      <c r="I103" s="1">
        <f>(Table1[[#This Row],[SALES PRICE]]-Table1[[#This Row],[UNIT COST]])*Table1[[#This Row],[UNIT PRODUCED]]</f>
        <v>21728</v>
      </c>
    </row>
    <row r="104" spans="2:9" x14ac:dyDescent="0.35">
      <c r="B104" s="1">
        <v>100</v>
      </c>
      <c r="C104" s="2">
        <v>45210</v>
      </c>
      <c r="D104" s="1" t="s">
        <v>104</v>
      </c>
      <c r="E104" s="1">
        <v>198</v>
      </c>
      <c r="F104" s="1">
        <v>89</v>
      </c>
      <c r="G104" s="1">
        <v>186</v>
      </c>
      <c r="H104" s="1">
        <f>(Table1[[#This Row],[UNIT PRODUCED]]*Table1[[#This Row],[SALES PRICE]])</f>
        <v>36828</v>
      </c>
      <c r="I104" s="1">
        <f>(Table1[[#This Row],[SALES PRICE]]-Table1[[#This Row],[UNIT COST]])*Table1[[#This Row],[UNIT PRODUCED]]</f>
        <v>19206</v>
      </c>
    </row>
    <row r="105" spans="2:9" x14ac:dyDescent="0.35">
      <c r="B105" s="1">
        <v>101</v>
      </c>
      <c r="C105" s="2">
        <v>45211</v>
      </c>
      <c r="D105" s="1" t="s">
        <v>105</v>
      </c>
      <c r="E105" s="1">
        <v>196</v>
      </c>
      <c r="F105" s="1">
        <v>73</v>
      </c>
      <c r="G105" s="1">
        <v>170</v>
      </c>
      <c r="H105" s="1">
        <f>(Table1[[#This Row],[UNIT PRODUCED]]*Table1[[#This Row],[SALES PRICE]])</f>
        <v>33320</v>
      </c>
      <c r="I105" s="1">
        <f>(Table1[[#This Row],[SALES PRICE]]-Table1[[#This Row],[UNIT COST]])*Table1[[#This Row],[UNIT PRODUCED]]</f>
        <v>19012</v>
      </c>
    </row>
    <row r="106" spans="2:9" x14ac:dyDescent="0.35">
      <c r="B106" s="1">
        <v>102</v>
      </c>
      <c r="C106" s="2">
        <v>45212</v>
      </c>
      <c r="D106" s="1" t="s">
        <v>106</v>
      </c>
      <c r="E106" s="1">
        <v>188</v>
      </c>
      <c r="F106" s="1">
        <v>79</v>
      </c>
      <c r="G106" s="1">
        <v>176</v>
      </c>
      <c r="H106" s="1">
        <f>(Table1[[#This Row],[UNIT PRODUCED]]*Table1[[#This Row],[SALES PRICE]])</f>
        <v>33088</v>
      </c>
      <c r="I106" s="1">
        <f>(Table1[[#This Row],[SALES PRICE]]-Table1[[#This Row],[UNIT COST]])*Table1[[#This Row],[UNIT PRODUCED]]</f>
        <v>18236</v>
      </c>
    </row>
    <row r="107" spans="2:9" x14ac:dyDescent="0.35">
      <c r="B107" s="1">
        <v>103</v>
      </c>
      <c r="C107" s="2">
        <v>45213</v>
      </c>
      <c r="D107" s="1" t="s">
        <v>107</v>
      </c>
      <c r="E107" s="1">
        <v>204</v>
      </c>
      <c r="F107" s="1">
        <v>91</v>
      </c>
      <c r="G107" s="1">
        <v>188</v>
      </c>
      <c r="H107" s="1">
        <f>(Table1[[#This Row],[UNIT PRODUCED]]*Table1[[#This Row],[SALES PRICE]])</f>
        <v>38352</v>
      </c>
      <c r="I107" s="1">
        <f>(Table1[[#This Row],[SALES PRICE]]-Table1[[#This Row],[UNIT COST]])*Table1[[#This Row],[UNIT PRODUCED]]</f>
        <v>19788</v>
      </c>
    </row>
    <row r="108" spans="2:9" x14ac:dyDescent="0.35">
      <c r="B108" s="1">
        <v>104</v>
      </c>
      <c r="C108" s="2">
        <v>45214</v>
      </c>
      <c r="D108" s="1" t="s">
        <v>108</v>
      </c>
      <c r="E108" s="1">
        <v>236</v>
      </c>
      <c r="F108" s="1">
        <v>84</v>
      </c>
      <c r="G108" s="1">
        <v>181</v>
      </c>
      <c r="H108" s="1">
        <f>(Table1[[#This Row],[UNIT PRODUCED]]*Table1[[#This Row],[SALES PRICE]])</f>
        <v>42716</v>
      </c>
      <c r="I108" s="1">
        <f>(Table1[[#This Row],[SALES PRICE]]-Table1[[#This Row],[UNIT COST]])*Table1[[#This Row],[UNIT PRODUCED]]</f>
        <v>22892</v>
      </c>
    </row>
    <row r="109" spans="2:9" x14ac:dyDescent="0.35">
      <c r="B109" s="1">
        <v>105</v>
      </c>
      <c r="C109" s="2">
        <v>45215</v>
      </c>
      <c r="D109" s="1" t="s">
        <v>109</v>
      </c>
      <c r="E109" s="1">
        <v>222</v>
      </c>
      <c r="F109" s="1">
        <v>72</v>
      </c>
      <c r="G109" s="1">
        <v>169</v>
      </c>
      <c r="H109" s="1">
        <f>(Table1[[#This Row],[UNIT PRODUCED]]*Table1[[#This Row],[SALES PRICE]])</f>
        <v>37518</v>
      </c>
      <c r="I109" s="1">
        <f>(Table1[[#This Row],[SALES PRICE]]-Table1[[#This Row],[UNIT COST]])*Table1[[#This Row],[UNIT PRODUCED]]</f>
        <v>21534</v>
      </c>
    </row>
    <row r="110" spans="2:9" x14ac:dyDescent="0.35">
      <c r="B110" s="1">
        <v>106</v>
      </c>
      <c r="C110" s="2">
        <v>45216</v>
      </c>
      <c r="D110" s="1" t="s">
        <v>110</v>
      </c>
      <c r="E110" s="1">
        <v>214</v>
      </c>
      <c r="F110" s="1">
        <v>86</v>
      </c>
      <c r="G110" s="1">
        <v>183</v>
      </c>
      <c r="H110" s="1">
        <f>(Table1[[#This Row],[UNIT PRODUCED]]*Table1[[#This Row],[SALES PRICE]])</f>
        <v>39162</v>
      </c>
      <c r="I110" s="1">
        <f>(Table1[[#This Row],[SALES PRICE]]-Table1[[#This Row],[UNIT COST]])*Table1[[#This Row],[UNIT PRODUCED]]</f>
        <v>20758</v>
      </c>
    </row>
    <row r="111" spans="2:9" x14ac:dyDescent="0.35">
      <c r="B111" s="1">
        <v>107</v>
      </c>
      <c r="C111" s="2">
        <v>45217</v>
      </c>
      <c r="D111" s="1" t="s">
        <v>111</v>
      </c>
      <c r="E111" s="1">
        <v>193</v>
      </c>
      <c r="F111" s="1">
        <v>99</v>
      </c>
      <c r="G111" s="1">
        <v>196</v>
      </c>
      <c r="H111" s="1">
        <f>(Table1[[#This Row],[UNIT PRODUCED]]*Table1[[#This Row],[SALES PRICE]])</f>
        <v>37828</v>
      </c>
      <c r="I111" s="1">
        <f>(Table1[[#This Row],[SALES PRICE]]-Table1[[#This Row],[UNIT COST]])*Table1[[#This Row],[UNIT PRODUCED]]</f>
        <v>18721</v>
      </c>
    </row>
    <row r="112" spans="2:9" x14ac:dyDescent="0.35">
      <c r="B112" s="1">
        <v>108</v>
      </c>
      <c r="C112" s="2">
        <v>45218</v>
      </c>
      <c r="D112" s="1" t="s">
        <v>112</v>
      </c>
      <c r="E112" s="1">
        <v>216</v>
      </c>
      <c r="F112" s="1">
        <v>75</v>
      </c>
      <c r="G112" s="1">
        <v>172</v>
      </c>
      <c r="H112" s="1">
        <f>(Table1[[#This Row],[UNIT PRODUCED]]*Table1[[#This Row],[SALES PRICE]])</f>
        <v>37152</v>
      </c>
      <c r="I112" s="1">
        <f>(Table1[[#This Row],[SALES PRICE]]-Table1[[#This Row],[UNIT COST]])*Table1[[#This Row],[UNIT PRODUCED]]</f>
        <v>20952</v>
      </c>
    </row>
    <row r="113" spans="2:9" x14ac:dyDescent="0.35">
      <c r="B113" s="1">
        <v>109</v>
      </c>
      <c r="C113" s="2">
        <v>45305</v>
      </c>
      <c r="D113" s="1" t="s">
        <v>113</v>
      </c>
      <c r="E113" s="1">
        <v>189</v>
      </c>
      <c r="F113" s="1">
        <v>93</v>
      </c>
      <c r="G113" s="1">
        <v>190</v>
      </c>
      <c r="H113" s="1">
        <f>(Table1[[#This Row],[UNIT PRODUCED]]*Table1[[#This Row],[SALES PRICE]])</f>
        <v>35910</v>
      </c>
      <c r="I113" s="1">
        <f>(Table1[[#This Row],[SALES PRICE]]-Table1[[#This Row],[UNIT COST]])*Table1[[#This Row],[UNIT PRODUCED]]</f>
        <v>18333</v>
      </c>
    </row>
    <row r="114" spans="2:9" x14ac:dyDescent="0.35">
      <c r="B114" s="1">
        <v>110</v>
      </c>
      <c r="C114" s="2">
        <v>45306</v>
      </c>
      <c r="D114" s="1" t="s">
        <v>114</v>
      </c>
      <c r="E114" s="1">
        <v>230</v>
      </c>
      <c r="F114" s="1">
        <v>78</v>
      </c>
      <c r="G114" s="1">
        <v>175</v>
      </c>
      <c r="H114" s="1">
        <f>(Table1[[#This Row],[UNIT PRODUCED]]*Table1[[#This Row],[SALES PRICE]])</f>
        <v>40250</v>
      </c>
      <c r="I114" s="1">
        <f>(Table1[[#This Row],[SALES PRICE]]-Table1[[#This Row],[UNIT COST]])*Table1[[#This Row],[UNIT PRODUCED]]</f>
        <v>22310</v>
      </c>
    </row>
    <row r="115" spans="2:9" x14ac:dyDescent="0.35">
      <c r="B115" s="1">
        <v>111</v>
      </c>
      <c r="C115" s="2">
        <v>45307</v>
      </c>
      <c r="D115" s="1" t="s">
        <v>115</v>
      </c>
      <c r="E115" s="1">
        <v>225</v>
      </c>
      <c r="F115" s="1">
        <v>70</v>
      </c>
      <c r="G115" s="1">
        <v>167</v>
      </c>
      <c r="H115" s="1">
        <f>(Table1[[#This Row],[UNIT PRODUCED]]*Table1[[#This Row],[SALES PRICE]])</f>
        <v>37575</v>
      </c>
      <c r="I115" s="1">
        <f>(Table1[[#This Row],[SALES PRICE]]-Table1[[#This Row],[UNIT COST]])*Table1[[#This Row],[UNIT PRODUCED]]</f>
        <v>21825</v>
      </c>
    </row>
    <row r="116" spans="2:9" x14ac:dyDescent="0.35">
      <c r="B116" s="1">
        <v>112</v>
      </c>
      <c r="C116" s="2">
        <v>45308</v>
      </c>
      <c r="D116" s="1" t="s">
        <v>116</v>
      </c>
      <c r="E116" s="1">
        <v>211</v>
      </c>
      <c r="F116" s="1">
        <v>83</v>
      </c>
      <c r="G116" s="1">
        <v>180</v>
      </c>
      <c r="H116" s="1">
        <f>(Table1[[#This Row],[UNIT PRODUCED]]*Table1[[#This Row],[SALES PRICE]])</f>
        <v>37980</v>
      </c>
      <c r="I116" s="1">
        <f>(Table1[[#This Row],[SALES PRICE]]-Table1[[#This Row],[UNIT COST]])*Table1[[#This Row],[UNIT PRODUCED]]</f>
        <v>20467</v>
      </c>
    </row>
    <row r="117" spans="2:9" x14ac:dyDescent="0.35">
      <c r="B117" s="1">
        <v>113</v>
      </c>
      <c r="C117" s="2">
        <v>45309</v>
      </c>
      <c r="D117" s="1" t="s">
        <v>117</v>
      </c>
      <c r="E117" s="1">
        <v>220</v>
      </c>
      <c r="F117" s="1">
        <v>92</v>
      </c>
      <c r="G117" s="1">
        <v>189</v>
      </c>
      <c r="H117" s="1">
        <f>(Table1[[#This Row],[UNIT PRODUCED]]*Table1[[#This Row],[SALES PRICE]])</f>
        <v>41580</v>
      </c>
      <c r="I117" s="1">
        <f>(Table1[[#This Row],[SALES PRICE]]-Table1[[#This Row],[UNIT COST]])*Table1[[#This Row],[UNIT PRODUCED]]</f>
        <v>21340</v>
      </c>
    </row>
    <row r="118" spans="2:9" x14ac:dyDescent="0.35">
      <c r="B118" s="1">
        <v>114</v>
      </c>
      <c r="C118" s="2">
        <v>45310</v>
      </c>
      <c r="D118" s="1" t="s">
        <v>118</v>
      </c>
      <c r="E118" s="1">
        <v>202</v>
      </c>
      <c r="F118" s="1">
        <v>71</v>
      </c>
      <c r="G118" s="1">
        <v>168</v>
      </c>
      <c r="H118" s="1">
        <f>(Table1[[#This Row],[UNIT PRODUCED]]*Table1[[#This Row],[SALES PRICE]])</f>
        <v>33936</v>
      </c>
      <c r="I118" s="1">
        <f>(Table1[[#This Row],[SALES PRICE]]-Table1[[#This Row],[UNIT COST]])*Table1[[#This Row],[UNIT PRODUCED]]</f>
        <v>19594</v>
      </c>
    </row>
    <row r="119" spans="2:9" x14ac:dyDescent="0.35">
      <c r="B119" s="1">
        <v>115</v>
      </c>
      <c r="C119" s="2">
        <v>45311</v>
      </c>
      <c r="D119" s="1" t="s">
        <v>119</v>
      </c>
      <c r="E119" s="1">
        <v>212</v>
      </c>
      <c r="F119" s="1">
        <v>87</v>
      </c>
      <c r="G119" s="1">
        <v>184</v>
      </c>
      <c r="H119" s="1">
        <f>(Table1[[#This Row],[UNIT PRODUCED]]*Table1[[#This Row],[SALES PRICE]])</f>
        <v>39008</v>
      </c>
      <c r="I119" s="1">
        <f>(Table1[[#This Row],[SALES PRICE]]-Table1[[#This Row],[UNIT COST]])*Table1[[#This Row],[UNIT PRODUCED]]</f>
        <v>20564</v>
      </c>
    </row>
    <row r="120" spans="2:9" x14ac:dyDescent="0.35">
      <c r="B120" s="1">
        <v>116</v>
      </c>
      <c r="C120" s="2">
        <v>45312</v>
      </c>
      <c r="D120" s="1" t="s">
        <v>120</v>
      </c>
      <c r="E120" s="1">
        <v>234</v>
      </c>
      <c r="F120" s="1">
        <v>96</v>
      </c>
      <c r="G120" s="1">
        <v>193</v>
      </c>
      <c r="H120" s="1">
        <f>(Table1[[#This Row],[UNIT PRODUCED]]*Table1[[#This Row],[SALES PRICE]])</f>
        <v>45162</v>
      </c>
      <c r="I120" s="1">
        <f>(Table1[[#This Row],[SALES PRICE]]-Table1[[#This Row],[UNIT COST]])*Table1[[#This Row],[UNIT PRODUCED]]</f>
        <v>22698</v>
      </c>
    </row>
    <row r="121" spans="2:9" x14ac:dyDescent="0.35">
      <c r="B121" s="1">
        <v>117</v>
      </c>
      <c r="C121" s="2">
        <v>45313</v>
      </c>
      <c r="D121" s="1" t="s">
        <v>121</v>
      </c>
      <c r="E121" s="1">
        <v>203</v>
      </c>
      <c r="F121" s="1">
        <v>80</v>
      </c>
      <c r="G121" s="1">
        <v>177</v>
      </c>
      <c r="H121" s="1">
        <f>(Table1[[#This Row],[UNIT PRODUCED]]*Table1[[#This Row],[SALES PRICE]])</f>
        <v>35931</v>
      </c>
      <c r="I121" s="1">
        <f>(Table1[[#This Row],[SALES PRICE]]-Table1[[#This Row],[UNIT COST]])*Table1[[#This Row],[UNIT PRODUCED]]</f>
        <v>19691</v>
      </c>
    </row>
    <row r="122" spans="2:9" x14ac:dyDescent="0.35">
      <c r="B122" s="1">
        <v>118</v>
      </c>
      <c r="C122" s="2">
        <v>45314</v>
      </c>
      <c r="D122" s="1" t="s">
        <v>6</v>
      </c>
      <c r="E122" s="1">
        <v>234</v>
      </c>
      <c r="F122" s="1">
        <v>98</v>
      </c>
      <c r="G122" s="1">
        <v>195</v>
      </c>
      <c r="H122" s="1">
        <f>(Table1[[#This Row],[UNIT PRODUCED]]*Table1[[#This Row],[SALES PRICE]])</f>
        <v>45630</v>
      </c>
      <c r="I122" s="1">
        <f>(Table1[[#This Row],[SALES PRICE]]-Table1[[#This Row],[UNIT COST]])*Table1[[#This Row],[UNIT PRODUCED]]</f>
        <v>22698</v>
      </c>
    </row>
    <row r="123" spans="2:9" x14ac:dyDescent="0.35">
      <c r="B123" s="1">
        <v>119</v>
      </c>
      <c r="C123" s="2">
        <v>45315</v>
      </c>
      <c r="D123" s="1" t="s">
        <v>7</v>
      </c>
      <c r="E123" s="1">
        <v>190</v>
      </c>
      <c r="F123" s="1">
        <v>82</v>
      </c>
      <c r="G123" s="1">
        <v>179</v>
      </c>
      <c r="H123" s="1">
        <f>(Table1[[#This Row],[UNIT PRODUCED]]*Table1[[#This Row],[SALES PRICE]])</f>
        <v>34010</v>
      </c>
      <c r="I123" s="1">
        <f>(Table1[[#This Row],[SALES PRICE]]-Table1[[#This Row],[UNIT COST]])*Table1[[#This Row],[UNIT PRODUCED]]</f>
        <v>18430</v>
      </c>
    </row>
    <row r="124" spans="2:9" x14ac:dyDescent="0.35">
      <c r="B124" s="1">
        <v>120</v>
      </c>
      <c r="C124" s="2">
        <v>45316</v>
      </c>
      <c r="D124" s="1" t="s">
        <v>8</v>
      </c>
      <c r="E124" s="1">
        <v>183</v>
      </c>
      <c r="F124" s="1">
        <v>70</v>
      </c>
      <c r="G124" s="1">
        <v>167</v>
      </c>
      <c r="H124" s="1">
        <f>(Table1[[#This Row],[UNIT PRODUCED]]*Table1[[#This Row],[SALES PRICE]])</f>
        <v>30561</v>
      </c>
      <c r="I124" s="1">
        <f>(Table1[[#This Row],[SALES PRICE]]-Table1[[#This Row],[UNIT COST]])*Table1[[#This Row],[UNIT PRODUCED]]</f>
        <v>17751</v>
      </c>
    </row>
    <row r="125" spans="2:9" x14ac:dyDescent="0.35">
      <c r="B125" s="1">
        <v>121</v>
      </c>
      <c r="C125" s="2">
        <v>45317</v>
      </c>
      <c r="D125" s="1" t="s">
        <v>9</v>
      </c>
      <c r="E125" s="1">
        <v>213</v>
      </c>
      <c r="F125" s="1">
        <v>90</v>
      </c>
      <c r="G125" s="1">
        <v>187</v>
      </c>
      <c r="H125" s="1">
        <f>(Table1[[#This Row],[UNIT PRODUCED]]*Table1[[#This Row],[SALES PRICE]])</f>
        <v>39831</v>
      </c>
      <c r="I125" s="1">
        <f>(Table1[[#This Row],[SALES PRICE]]-Table1[[#This Row],[UNIT COST]])*Table1[[#This Row],[UNIT PRODUCED]]</f>
        <v>20661</v>
      </c>
    </row>
    <row r="126" spans="2:9" x14ac:dyDescent="0.35">
      <c r="B126" s="1">
        <v>122</v>
      </c>
      <c r="C126" s="2">
        <v>45318</v>
      </c>
      <c r="D126" s="1" t="s">
        <v>10</v>
      </c>
      <c r="E126" s="1">
        <v>208</v>
      </c>
      <c r="F126" s="1">
        <v>94</v>
      </c>
      <c r="G126" s="1">
        <v>191</v>
      </c>
      <c r="H126" s="1">
        <f>(Table1[[#This Row],[UNIT PRODUCED]]*Table1[[#This Row],[SALES PRICE]])</f>
        <v>39728</v>
      </c>
      <c r="I126" s="1">
        <f>(Table1[[#This Row],[SALES PRICE]]-Table1[[#This Row],[UNIT COST]])*Table1[[#This Row],[UNIT PRODUCED]]</f>
        <v>20176</v>
      </c>
    </row>
    <row r="127" spans="2:9" x14ac:dyDescent="0.35">
      <c r="B127" s="1">
        <v>123</v>
      </c>
      <c r="C127" s="2">
        <v>45319</v>
      </c>
      <c r="D127" s="1" t="s">
        <v>11</v>
      </c>
      <c r="E127" s="1">
        <v>182</v>
      </c>
      <c r="F127" s="1">
        <v>77</v>
      </c>
      <c r="G127" s="1">
        <v>174</v>
      </c>
      <c r="H127" s="1">
        <f>(Table1[[#This Row],[UNIT PRODUCED]]*Table1[[#This Row],[SALES PRICE]])</f>
        <v>31668</v>
      </c>
      <c r="I127" s="1">
        <f>(Table1[[#This Row],[SALES PRICE]]-Table1[[#This Row],[UNIT COST]])*Table1[[#This Row],[UNIT PRODUCED]]</f>
        <v>17654</v>
      </c>
    </row>
    <row r="128" spans="2:9" x14ac:dyDescent="0.35">
      <c r="B128" s="1">
        <v>124</v>
      </c>
      <c r="C128" s="2">
        <v>45320</v>
      </c>
      <c r="D128" s="1" t="s">
        <v>12</v>
      </c>
      <c r="E128" s="1">
        <v>231</v>
      </c>
      <c r="F128" s="1">
        <v>85</v>
      </c>
      <c r="G128" s="1">
        <v>182</v>
      </c>
      <c r="H128" s="1">
        <f>(Table1[[#This Row],[UNIT PRODUCED]]*Table1[[#This Row],[SALES PRICE]])</f>
        <v>42042</v>
      </c>
      <c r="I128" s="1">
        <f>(Table1[[#This Row],[SALES PRICE]]-Table1[[#This Row],[UNIT COST]])*Table1[[#This Row],[UNIT PRODUCED]]</f>
        <v>22407</v>
      </c>
    </row>
    <row r="129" spans="2:9" x14ac:dyDescent="0.35">
      <c r="B129" s="1">
        <v>125</v>
      </c>
      <c r="C129" s="2">
        <v>45321</v>
      </c>
      <c r="D129" s="1" t="s">
        <v>13</v>
      </c>
      <c r="E129" s="1">
        <v>223</v>
      </c>
      <c r="F129" s="1">
        <v>72</v>
      </c>
      <c r="G129" s="1">
        <v>169</v>
      </c>
      <c r="H129" s="1">
        <f>(Table1[[#This Row],[UNIT PRODUCED]]*Table1[[#This Row],[SALES PRICE]])</f>
        <v>37687</v>
      </c>
      <c r="I129" s="1">
        <f>(Table1[[#This Row],[SALES PRICE]]-Table1[[#This Row],[UNIT COST]])*Table1[[#This Row],[UNIT PRODUCED]]</f>
        <v>21631</v>
      </c>
    </row>
    <row r="130" spans="2:9" x14ac:dyDescent="0.35">
      <c r="B130" s="1">
        <v>126</v>
      </c>
      <c r="C130" s="2">
        <v>45322</v>
      </c>
      <c r="D130" s="1" t="s">
        <v>14</v>
      </c>
      <c r="E130" s="1">
        <v>210</v>
      </c>
      <c r="F130" s="1">
        <v>89</v>
      </c>
      <c r="G130" s="1">
        <v>186</v>
      </c>
      <c r="H130" s="1">
        <f>(Table1[[#This Row],[UNIT PRODUCED]]*Table1[[#This Row],[SALES PRICE]])</f>
        <v>39060</v>
      </c>
      <c r="I130" s="1">
        <f>(Table1[[#This Row],[SALES PRICE]]-Table1[[#This Row],[UNIT COST]])*Table1[[#This Row],[UNIT PRODUCED]]</f>
        <v>20370</v>
      </c>
    </row>
    <row r="131" spans="2:9" x14ac:dyDescent="0.35">
      <c r="B131" s="1">
        <v>127</v>
      </c>
      <c r="C131" s="2">
        <v>45323</v>
      </c>
      <c r="D131" s="1" t="s">
        <v>15</v>
      </c>
      <c r="E131" s="1">
        <v>238</v>
      </c>
      <c r="F131" s="1">
        <v>96</v>
      </c>
      <c r="G131" s="1">
        <v>193</v>
      </c>
      <c r="H131" s="1">
        <f>(Table1[[#This Row],[UNIT PRODUCED]]*Table1[[#This Row],[SALES PRICE]])</f>
        <v>45934</v>
      </c>
      <c r="I131" s="1">
        <f>(Table1[[#This Row],[SALES PRICE]]-Table1[[#This Row],[UNIT COST]])*Table1[[#This Row],[UNIT PRODUCED]]</f>
        <v>23086</v>
      </c>
    </row>
    <row r="132" spans="2:9" x14ac:dyDescent="0.35">
      <c r="B132" s="1">
        <v>128</v>
      </c>
      <c r="C132" s="2">
        <v>45324</v>
      </c>
      <c r="D132" s="1" t="s">
        <v>16</v>
      </c>
      <c r="E132" s="1">
        <v>194</v>
      </c>
      <c r="F132" s="1">
        <v>70</v>
      </c>
      <c r="G132" s="1">
        <v>167</v>
      </c>
      <c r="H132" s="1">
        <f>(Table1[[#This Row],[UNIT PRODUCED]]*Table1[[#This Row],[SALES PRICE]])</f>
        <v>32398</v>
      </c>
      <c r="I132" s="1">
        <f>(Table1[[#This Row],[SALES PRICE]]-Table1[[#This Row],[UNIT COST]])*Table1[[#This Row],[UNIT PRODUCED]]</f>
        <v>18818</v>
      </c>
    </row>
    <row r="133" spans="2:9" x14ac:dyDescent="0.35">
      <c r="B133" s="1">
        <v>129</v>
      </c>
      <c r="C133" s="2">
        <v>45325</v>
      </c>
      <c r="D133" s="1" t="s">
        <v>17</v>
      </c>
      <c r="E133" s="1">
        <v>232</v>
      </c>
      <c r="F133" s="1">
        <v>74</v>
      </c>
      <c r="G133" s="1">
        <v>171</v>
      </c>
      <c r="H133" s="1">
        <f>(Table1[[#This Row],[UNIT PRODUCED]]*Table1[[#This Row],[SALES PRICE]])</f>
        <v>39672</v>
      </c>
      <c r="I133" s="1">
        <f>(Table1[[#This Row],[SALES PRICE]]-Table1[[#This Row],[UNIT COST]])*Table1[[#This Row],[UNIT PRODUCED]]</f>
        <v>22504</v>
      </c>
    </row>
    <row r="134" spans="2:9" x14ac:dyDescent="0.35">
      <c r="B134" s="1">
        <v>130</v>
      </c>
      <c r="C134" s="2">
        <v>45326</v>
      </c>
      <c r="D134" s="1" t="s">
        <v>18</v>
      </c>
      <c r="E134" s="1">
        <v>215</v>
      </c>
      <c r="F134" s="1">
        <v>81</v>
      </c>
      <c r="G134" s="1">
        <v>178</v>
      </c>
      <c r="H134" s="1">
        <f>(Table1[[#This Row],[UNIT PRODUCED]]*Table1[[#This Row],[SALES PRICE]])</f>
        <v>38270</v>
      </c>
      <c r="I134" s="1">
        <f>(Table1[[#This Row],[SALES PRICE]]-Table1[[#This Row],[UNIT COST]])*Table1[[#This Row],[UNIT PRODUCED]]</f>
        <v>20855</v>
      </c>
    </row>
    <row r="135" spans="2:9" x14ac:dyDescent="0.35">
      <c r="B135" s="1">
        <v>131</v>
      </c>
      <c r="C135" s="2">
        <v>45327</v>
      </c>
      <c r="D135" s="1" t="s">
        <v>19</v>
      </c>
      <c r="E135" s="1">
        <v>229</v>
      </c>
      <c r="F135" s="1">
        <v>98</v>
      </c>
      <c r="G135" s="1">
        <v>195</v>
      </c>
      <c r="H135" s="1">
        <f>(Table1[[#This Row],[UNIT PRODUCED]]*Table1[[#This Row],[SALES PRICE]])</f>
        <v>44655</v>
      </c>
      <c r="I135" s="1">
        <f>(Table1[[#This Row],[SALES PRICE]]-Table1[[#This Row],[UNIT COST]])*Table1[[#This Row],[UNIT PRODUCED]]</f>
        <v>22213</v>
      </c>
    </row>
    <row r="136" spans="2:9" x14ac:dyDescent="0.35">
      <c r="B136" s="1">
        <v>132</v>
      </c>
      <c r="C136" s="2">
        <v>45328</v>
      </c>
      <c r="D136" s="1" t="s">
        <v>20</v>
      </c>
      <c r="E136" s="1">
        <v>198</v>
      </c>
      <c r="F136" s="1">
        <v>76</v>
      </c>
      <c r="G136" s="1">
        <v>173</v>
      </c>
      <c r="H136" s="1">
        <f>(Table1[[#This Row],[UNIT PRODUCED]]*Table1[[#This Row],[SALES PRICE]])</f>
        <v>34254</v>
      </c>
      <c r="I136" s="1">
        <f>(Table1[[#This Row],[SALES PRICE]]-Table1[[#This Row],[UNIT COST]])*Table1[[#This Row],[UNIT PRODUCED]]</f>
        <v>19206</v>
      </c>
    </row>
    <row r="137" spans="2:9" x14ac:dyDescent="0.35">
      <c r="B137" s="1">
        <v>133</v>
      </c>
      <c r="C137" s="2">
        <v>45329</v>
      </c>
      <c r="D137" s="1" t="s">
        <v>21</v>
      </c>
      <c r="E137" s="1">
        <v>196</v>
      </c>
      <c r="F137" s="1">
        <v>94</v>
      </c>
      <c r="G137" s="1">
        <v>191</v>
      </c>
      <c r="H137" s="1">
        <f>(Table1[[#This Row],[UNIT PRODUCED]]*Table1[[#This Row],[SALES PRICE]])</f>
        <v>37436</v>
      </c>
      <c r="I137" s="1">
        <f>(Table1[[#This Row],[SALES PRICE]]-Table1[[#This Row],[UNIT COST]])*Table1[[#This Row],[UNIT PRODUCED]]</f>
        <v>19012</v>
      </c>
    </row>
    <row r="138" spans="2:9" x14ac:dyDescent="0.35">
      <c r="B138" s="1">
        <v>134</v>
      </c>
      <c r="C138" s="2">
        <v>45330</v>
      </c>
      <c r="D138" s="1" t="s">
        <v>22</v>
      </c>
      <c r="E138" s="1">
        <v>227</v>
      </c>
      <c r="F138" s="1">
        <v>72</v>
      </c>
      <c r="G138" s="1">
        <v>169</v>
      </c>
      <c r="H138" s="1">
        <f>(Table1[[#This Row],[UNIT PRODUCED]]*Table1[[#This Row],[SALES PRICE]])</f>
        <v>38363</v>
      </c>
      <c r="I138" s="1">
        <f>(Table1[[#This Row],[SALES PRICE]]-Table1[[#This Row],[UNIT COST]])*Table1[[#This Row],[UNIT PRODUCED]]</f>
        <v>22019</v>
      </c>
    </row>
    <row r="139" spans="2:9" x14ac:dyDescent="0.35">
      <c r="B139" s="1">
        <v>135</v>
      </c>
      <c r="C139" s="2">
        <v>45331</v>
      </c>
      <c r="D139" s="1" t="s">
        <v>23</v>
      </c>
      <c r="E139" s="1">
        <v>207</v>
      </c>
      <c r="F139" s="1">
        <v>82</v>
      </c>
      <c r="G139" s="1">
        <v>179</v>
      </c>
      <c r="H139" s="1">
        <f>(Table1[[#This Row],[UNIT PRODUCED]]*Table1[[#This Row],[SALES PRICE]])</f>
        <v>37053</v>
      </c>
      <c r="I139" s="1">
        <f>(Table1[[#This Row],[SALES PRICE]]-Table1[[#This Row],[UNIT COST]])*Table1[[#This Row],[UNIT PRODUCED]]</f>
        <v>20079</v>
      </c>
    </row>
    <row r="140" spans="2:9" x14ac:dyDescent="0.35">
      <c r="B140" s="1">
        <v>136</v>
      </c>
      <c r="C140" s="2">
        <v>45332</v>
      </c>
      <c r="D140" s="1" t="s">
        <v>24</v>
      </c>
      <c r="E140" s="1">
        <v>217</v>
      </c>
      <c r="F140" s="1">
        <v>85</v>
      </c>
      <c r="G140" s="1">
        <v>182</v>
      </c>
      <c r="H140" s="1">
        <f>(Table1[[#This Row],[UNIT PRODUCED]]*Table1[[#This Row],[SALES PRICE]])</f>
        <v>39494</v>
      </c>
      <c r="I140" s="1">
        <f>(Table1[[#This Row],[SALES PRICE]]-Table1[[#This Row],[UNIT COST]])*Table1[[#This Row],[UNIT PRODUCED]]</f>
        <v>21049</v>
      </c>
    </row>
    <row r="141" spans="2:9" x14ac:dyDescent="0.35">
      <c r="B141" s="1">
        <v>137</v>
      </c>
      <c r="C141" s="2">
        <v>45333</v>
      </c>
      <c r="D141" s="1" t="s">
        <v>25</v>
      </c>
      <c r="E141" s="1">
        <v>184</v>
      </c>
      <c r="F141" s="1">
        <v>91</v>
      </c>
      <c r="G141" s="1">
        <v>188</v>
      </c>
      <c r="H141" s="1">
        <f>(Table1[[#This Row],[UNIT PRODUCED]]*Table1[[#This Row],[SALES PRICE]])</f>
        <v>34592</v>
      </c>
      <c r="I141" s="1">
        <f>(Table1[[#This Row],[SALES PRICE]]-Table1[[#This Row],[UNIT COST]])*Table1[[#This Row],[UNIT PRODUCED]]</f>
        <v>17848</v>
      </c>
    </row>
    <row r="142" spans="2:9" x14ac:dyDescent="0.35">
      <c r="B142" s="1">
        <v>138</v>
      </c>
      <c r="C142" s="2">
        <v>45334</v>
      </c>
      <c r="D142" s="1" t="s">
        <v>26</v>
      </c>
      <c r="E142" s="1">
        <v>235</v>
      </c>
      <c r="F142" s="1">
        <v>70</v>
      </c>
      <c r="G142" s="1">
        <v>167</v>
      </c>
      <c r="H142" s="1">
        <f>(Table1[[#This Row],[UNIT PRODUCED]]*Table1[[#This Row],[SALES PRICE]])</f>
        <v>39245</v>
      </c>
      <c r="I142" s="1">
        <f>(Table1[[#This Row],[SALES PRICE]]-Table1[[#This Row],[UNIT COST]])*Table1[[#This Row],[UNIT PRODUCED]]</f>
        <v>22795</v>
      </c>
    </row>
    <row r="143" spans="2:9" x14ac:dyDescent="0.35">
      <c r="B143" s="1">
        <v>139</v>
      </c>
      <c r="C143" s="2">
        <v>45335</v>
      </c>
      <c r="D143" s="1" t="s">
        <v>27</v>
      </c>
      <c r="E143" s="1">
        <v>199</v>
      </c>
      <c r="F143" s="1">
        <v>89</v>
      </c>
      <c r="G143" s="1">
        <v>186</v>
      </c>
      <c r="H143" s="1">
        <f>(Table1[[#This Row],[UNIT PRODUCED]]*Table1[[#This Row],[SALES PRICE]])</f>
        <v>37014</v>
      </c>
      <c r="I143" s="1">
        <f>(Table1[[#This Row],[SALES PRICE]]-Table1[[#This Row],[UNIT COST]])*Table1[[#This Row],[UNIT PRODUCED]]</f>
        <v>19303</v>
      </c>
    </row>
    <row r="144" spans="2:9" x14ac:dyDescent="0.35">
      <c r="B144" s="1">
        <v>140</v>
      </c>
      <c r="C144" s="2">
        <v>45336</v>
      </c>
      <c r="D144" s="1" t="s">
        <v>28</v>
      </c>
      <c r="E144" s="1">
        <v>203</v>
      </c>
      <c r="F144" s="1">
        <v>77</v>
      </c>
      <c r="G144" s="1">
        <v>174</v>
      </c>
      <c r="H144" s="1">
        <f>(Table1[[#This Row],[UNIT PRODUCED]]*Table1[[#This Row],[SALES PRICE]])</f>
        <v>35322</v>
      </c>
      <c r="I144" s="1">
        <f>(Table1[[#This Row],[SALES PRICE]]-Table1[[#This Row],[UNIT COST]])*Table1[[#This Row],[UNIT PRODUCED]]</f>
        <v>19691</v>
      </c>
    </row>
    <row r="145" spans="2:9" x14ac:dyDescent="0.35">
      <c r="B145" s="1">
        <v>141</v>
      </c>
      <c r="C145" s="2">
        <v>45337</v>
      </c>
      <c r="D145" s="1" t="s">
        <v>29</v>
      </c>
      <c r="E145" s="1">
        <v>186</v>
      </c>
      <c r="F145" s="1">
        <v>93</v>
      </c>
      <c r="G145" s="1">
        <v>190</v>
      </c>
      <c r="H145" s="1">
        <f>(Table1[[#This Row],[UNIT PRODUCED]]*Table1[[#This Row],[SALES PRICE]])</f>
        <v>35340</v>
      </c>
      <c r="I145" s="1">
        <f>(Table1[[#This Row],[SALES PRICE]]-Table1[[#This Row],[UNIT COST]])*Table1[[#This Row],[UNIT PRODUCED]]</f>
        <v>18042</v>
      </c>
    </row>
    <row r="146" spans="2:9" x14ac:dyDescent="0.35">
      <c r="B146" s="1">
        <v>142</v>
      </c>
      <c r="C146" s="2">
        <v>45338</v>
      </c>
      <c r="D146" s="1" t="s">
        <v>30</v>
      </c>
      <c r="E146" s="1">
        <v>206</v>
      </c>
      <c r="F146" s="1">
        <v>73</v>
      </c>
      <c r="G146" s="1">
        <v>170</v>
      </c>
      <c r="H146" s="1">
        <f>(Table1[[#This Row],[UNIT PRODUCED]]*Table1[[#This Row],[SALES PRICE]])</f>
        <v>35020</v>
      </c>
      <c r="I146" s="1">
        <f>(Table1[[#This Row],[SALES PRICE]]-Table1[[#This Row],[UNIT COST]])*Table1[[#This Row],[UNIT PRODUCED]]</f>
        <v>19982</v>
      </c>
    </row>
    <row r="147" spans="2:9" x14ac:dyDescent="0.35">
      <c r="B147" s="1">
        <v>143</v>
      </c>
      <c r="C147" s="2">
        <v>45339</v>
      </c>
      <c r="D147" s="1" t="s">
        <v>31</v>
      </c>
      <c r="E147" s="1">
        <v>236</v>
      </c>
      <c r="F147" s="1">
        <v>100</v>
      </c>
      <c r="G147" s="1">
        <v>197</v>
      </c>
      <c r="H147" s="1">
        <f>(Table1[[#This Row],[UNIT PRODUCED]]*Table1[[#This Row],[SALES PRICE]])</f>
        <v>46492</v>
      </c>
      <c r="I147" s="1">
        <f>(Table1[[#This Row],[SALES PRICE]]-Table1[[#This Row],[UNIT COST]])*Table1[[#This Row],[UNIT PRODUCED]]</f>
        <v>22892</v>
      </c>
    </row>
    <row r="148" spans="2:9" x14ac:dyDescent="0.35">
      <c r="B148" s="1">
        <v>144</v>
      </c>
      <c r="C148" s="2">
        <v>45340</v>
      </c>
      <c r="D148" s="1" t="s">
        <v>32</v>
      </c>
      <c r="E148" s="1">
        <v>226</v>
      </c>
      <c r="F148" s="1">
        <v>88</v>
      </c>
      <c r="G148" s="1">
        <v>185</v>
      </c>
      <c r="H148" s="1">
        <f>(Table1[[#This Row],[UNIT PRODUCED]]*Table1[[#This Row],[SALES PRICE]])</f>
        <v>41810</v>
      </c>
      <c r="I148" s="1">
        <f>(Table1[[#This Row],[SALES PRICE]]-Table1[[#This Row],[UNIT COST]])*Table1[[#This Row],[UNIT PRODUCED]]</f>
        <v>21922</v>
      </c>
    </row>
    <row r="149" spans="2:9" x14ac:dyDescent="0.35">
      <c r="B149" s="1">
        <v>145</v>
      </c>
      <c r="C149" s="2">
        <v>45341</v>
      </c>
      <c r="D149" s="1" t="s">
        <v>33</v>
      </c>
      <c r="E149" s="1">
        <v>183</v>
      </c>
      <c r="F149" s="1">
        <v>79</v>
      </c>
      <c r="G149" s="1">
        <v>176</v>
      </c>
      <c r="H149" s="1">
        <f>(Table1[[#This Row],[UNIT PRODUCED]]*Table1[[#This Row],[SALES PRICE]])</f>
        <v>32208</v>
      </c>
      <c r="I149" s="1">
        <f>(Table1[[#This Row],[SALES PRICE]]-Table1[[#This Row],[UNIT COST]])*Table1[[#This Row],[UNIT PRODUCED]]</f>
        <v>17751</v>
      </c>
    </row>
    <row r="150" spans="2:9" x14ac:dyDescent="0.35">
      <c r="B150" s="1">
        <v>146</v>
      </c>
      <c r="C150" s="2">
        <v>45342</v>
      </c>
      <c r="D150" s="1" t="s">
        <v>34</v>
      </c>
      <c r="E150" s="1">
        <v>229</v>
      </c>
      <c r="F150" s="1">
        <v>95</v>
      </c>
      <c r="G150" s="1">
        <v>192</v>
      </c>
      <c r="H150" s="1">
        <f>(Table1[[#This Row],[UNIT PRODUCED]]*Table1[[#This Row],[SALES PRICE]])</f>
        <v>43968</v>
      </c>
      <c r="I150" s="1">
        <f>(Table1[[#This Row],[SALES PRICE]]-Table1[[#This Row],[UNIT COST]])*Table1[[#This Row],[UNIT PRODUCED]]</f>
        <v>22213</v>
      </c>
    </row>
    <row r="151" spans="2:9" x14ac:dyDescent="0.35">
      <c r="B151" s="1">
        <v>147</v>
      </c>
      <c r="C151" s="2">
        <v>45343</v>
      </c>
      <c r="D151" s="1" t="s">
        <v>35</v>
      </c>
      <c r="E151" s="1">
        <v>211</v>
      </c>
      <c r="F151" s="1">
        <v>84</v>
      </c>
      <c r="G151" s="1">
        <v>181</v>
      </c>
      <c r="H151" s="1">
        <f>(Table1[[#This Row],[UNIT PRODUCED]]*Table1[[#This Row],[SALES PRICE]])</f>
        <v>38191</v>
      </c>
      <c r="I151" s="1">
        <f>(Table1[[#This Row],[SALES PRICE]]-Table1[[#This Row],[UNIT COST]])*Table1[[#This Row],[UNIT PRODUCED]]</f>
        <v>20467</v>
      </c>
    </row>
    <row r="152" spans="2:9" x14ac:dyDescent="0.35">
      <c r="B152" s="1">
        <v>148</v>
      </c>
      <c r="C152" s="2">
        <v>45344</v>
      </c>
      <c r="D152" s="1" t="s">
        <v>36</v>
      </c>
      <c r="E152" s="1">
        <v>210</v>
      </c>
      <c r="F152" s="1">
        <v>78</v>
      </c>
      <c r="G152" s="1">
        <v>175</v>
      </c>
      <c r="H152" s="1">
        <f>(Table1[[#This Row],[UNIT PRODUCED]]*Table1[[#This Row],[SALES PRICE]])</f>
        <v>36750</v>
      </c>
      <c r="I152" s="1">
        <f>(Table1[[#This Row],[SALES PRICE]]-Table1[[#This Row],[UNIT COST]])*Table1[[#This Row],[UNIT PRODUCED]]</f>
        <v>20370</v>
      </c>
    </row>
    <row r="153" spans="2:9" x14ac:dyDescent="0.35">
      <c r="B153" s="1">
        <v>149</v>
      </c>
      <c r="C153" s="2">
        <v>45345</v>
      </c>
      <c r="D153" s="1" t="s">
        <v>37</v>
      </c>
      <c r="E153" s="1">
        <v>231</v>
      </c>
      <c r="F153" s="1">
        <v>97</v>
      </c>
      <c r="G153" s="1">
        <v>194</v>
      </c>
      <c r="H153" s="1">
        <f>(Table1[[#This Row],[UNIT PRODUCED]]*Table1[[#This Row],[SALES PRICE]])</f>
        <v>44814</v>
      </c>
      <c r="I153" s="1">
        <f>(Table1[[#This Row],[SALES PRICE]]-Table1[[#This Row],[UNIT COST]])*Table1[[#This Row],[UNIT PRODUCED]]</f>
        <v>22407</v>
      </c>
    </row>
    <row r="154" spans="2:9" x14ac:dyDescent="0.35">
      <c r="B154" s="1">
        <v>150</v>
      </c>
      <c r="C154" s="2">
        <v>45346</v>
      </c>
      <c r="D154" s="1" t="s">
        <v>38</v>
      </c>
      <c r="E154" s="1">
        <v>195</v>
      </c>
      <c r="F154" s="1">
        <v>82</v>
      </c>
      <c r="G154" s="1">
        <v>179</v>
      </c>
      <c r="H154" s="10">
        <f>(Table1[[#This Row],[UNIT PRODUCED]]*Table1[[#This Row],[SALES PRICE]])</f>
        <v>34905</v>
      </c>
      <c r="I154" s="10">
        <f>(Table1[[#This Row],[SALES PRICE]]-Table1[[#This Row],[UNIT COST]])*Table1[[#This Row],[UNIT PRODUCED]]</f>
        <v>18915</v>
      </c>
    </row>
    <row r="155" spans="2:9" x14ac:dyDescent="0.35">
      <c r="B155" s="3"/>
      <c r="C155" s="4"/>
      <c r="D155" s="3"/>
      <c r="E155" s="3"/>
      <c r="F155" s="3"/>
      <c r="G155" s="3"/>
      <c r="H155" s="5"/>
    </row>
    <row r="156" spans="2:9" x14ac:dyDescent="0.35">
      <c r="B156" s="3"/>
      <c r="C156" s="4"/>
      <c r="D156" s="3"/>
      <c r="E156" s="3"/>
      <c r="F156" s="3"/>
      <c r="G156" s="3"/>
      <c r="H156" s="5"/>
    </row>
    <row r="157" spans="2:9" x14ac:dyDescent="0.35">
      <c r="B157" s="3"/>
      <c r="C157" s="4"/>
      <c r="D157" s="3"/>
      <c r="E157" s="3"/>
      <c r="F157" s="3"/>
      <c r="G157" s="3"/>
      <c r="H157" s="5"/>
    </row>
    <row r="158" spans="2:9" x14ac:dyDescent="0.35">
      <c r="B158" s="3"/>
      <c r="C158" s="4"/>
      <c r="D158" s="3"/>
      <c r="E158" s="3"/>
      <c r="F158" s="3"/>
      <c r="G158" s="3"/>
      <c r="H158" s="5"/>
    </row>
    <row r="159" spans="2:9" x14ac:dyDescent="0.35">
      <c r="B159" s="3"/>
      <c r="C159" s="4"/>
      <c r="D159" s="3"/>
      <c r="E159" s="3"/>
      <c r="F159" s="3"/>
      <c r="G159" s="3"/>
      <c r="H159" s="5"/>
    </row>
    <row r="160" spans="2:9" x14ac:dyDescent="0.35">
      <c r="B160" s="3"/>
      <c r="C160" s="4"/>
      <c r="D160" s="3"/>
      <c r="E160" s="3"/>
      <c r="F160" s="3"/>
      <c r="G160" s="3"/>
      <c r="H160" s="5"/>
    </row>
    <row r="161" spans="2:8" x14ac:dyDescent="0.35">
      <c r="B161" s="3"/>
      <c r="C161" s="4"/>
      <c r="D161" s="3"/>
      <c r="E161" s="3"/>
      <c r="F161" s="3"/>
      <c r="G161" s="3"/>
      <c r="H161" s="5"/>
    </row>
    <row r="162" spans="2:8" x14ac:dyDescent="0.35">
      <c r="B162" s="3"/>
      <c r="C162" s="4"/>
      <c r="D162" s="3"/>
      <c r="E162" s="3"/>
      <c r="F162" s="3"/>
      <c r="G162" s="3"/>
    </row>
    <row r="163" spans="2:8" x14ac:dyDescent="0.35">
      <c r="B163" s="3"/>
      <c r="C163" s="4"/>
      <c r="D163" s="3"/>
      <c r="E163" s="3"/>
      <c r="F163" s="3"/>
      <c r="G163" s="3"/>
      <c r="H163" s="5"/>
    </row>
    <row r="164" spans="2:8" x14ac:dyDescent="0.35">
      <c r="B164" s="3"/>
      <c r="C164" s="4"/>
      <c r="D164" s="3"/>
      <c r="E164" s="3"/>
      <c r="F164" s="3"/>
      <c r="G164" s="3"/>
      <c r="H164" s="5"/>
    </row>
    <row r="165" spans="2:8" x14ac:dyDescent="0.35">
      <c r="B165" s="3"/>
      <c r="C165" s="4"/>
      <c r="D165" s="3"/>
      <c r="E165" s="3"/>
      <c r="F165" s="3"/>
      <c r="G165" s="3"/>
      <c r="H165" s="5"/>
    </row>
    <row r="166" spans="2:8" x14ac:dyDescent="0.35">
      <c r="B166" s="3"/>
      <c r="C166" s="4"/>
      <c r="D166" s="3"/>
      <c r="E166" s="3"/>
      <c r="F166" s="3"/>
      <c r="G166" s="3"/>
    </row>
    <row r="167" spans="2:8" x14ac:dyDescent="0.35">
      <c r="B167" s="3"/>
      <c r="C167" s="4"/>
      <c r="D167" s="3"/>
      <c r="E167" s="3"/>
      <c r="F167" s="3"/>
      <c r="G167" s="3"/>
    </row>
    <row r="168" spans="2:8" x14ac:dyDescent="0.35">
      <c r="B168" s="3"/>
      <c r="C168" s="4"/>
      <c r="D168" s="3"/>
      <c r="E168" s="3"/>
      <c r="F168" s="3"/>
      <c r="G168" s="3"/>
    </row>
    <row r="169" spans="2:8" x14ac:dyDescent="0.35">
      <c r="B169" s="3"/>
      <c r="C169" s="4"/>
      <c r="D169" s="3"/>
      <c r="E169" s="3"/>
      <c r="F169" s="3"/>
      <c r="G169" s="3"/>
    </row>
    <row r="170" spans="2:8" x14ac:dyDescent="0.35">
      <c r="B170" s="3"/>
      <c r="C170" s="4"/>
      <c r="D170" s="3"/>
      <c r="E170" s="3"/>
      <c r="F170" s="3"/>
      <c r="G170" s="3"/>
    </row>
    <row r="171" spans="2:8" x14ac:dyDescent="0.35">
      <c r="B171" s="3"/>
      <c r="C171" s="4"/>
      <c r="D171" s="3"/>
      <c r="E171" s="3"/>
      <c r="F171" s="3"/>
      <c r="G171" s="3"/>
    </row>
    <row r="172" spans="2:8" x14ac:dyDescent="0.35">
      <c r="B172" s="3"/>
      <c r="C172" s="4"/>
      <c r="D172" s="3"/>
      <c r="E172" s="3"/>
      <c r="F172" s="3"/>
      <c r="G172" s="3"/>
    </row>
    <row r="173" spans="2:8" x14ac:dyDescent="0.35">
      <c r="B173" s="3"/>
      <c r="C173" s="4"/>
      <c r="D173" s="3"/>
      <c r="E173" s="3"/>
      <c r="F173" s="3"/>
      <c r="G173" s="3"/>
    </row>
    <row r="174" spans="2:8" x14ac:dyDescent="0.35">
      <c r="B174" s="3"/>
      <c r="C174" s="4"/>
      <c r="D174" s="3"/>
      <c r="E174" s="3"/>
      <c r="F174" s="3"/>
      <c r="G174" s="3"/>
    </row>
    <row r="175" spans="2:8" x14ac:dyDescent="0.35">
      <c r="B175" s="3"/>
      <c r="C175" s="4"/>
      <c r="D175" s="3"/>
      <c r="E175" s="3"/>
      <c r="F175" s="3"/>
      <c r="G175" s="3"/>
    </row>
    <row r="176" spans="2:8" x14ac:dyDescent="0.35">
      <c r="B176" s="3"/>
      <c r="C176" s="4"/>
      <c r="D176" s="3"/>
      <c r="E176" s="3"/>
      <c r="F176" s="3"/>
      <c r="G176" s="3"/>
    </row>
    <row r="177" spans="2:7" x14ac:dyDescent="0.35">
      <c r="B177" s="3"/>
      <c r="C177" s="4"/>
      <c r="D177" s="3"/>
      <c r="E177" s="3"/>
      <c r="F177" s="3"/>
      <c r="G177" s="3"/>
    </row>
    <row r="178" spans="2:7" x14ac:dyDescent="0.35">
      <c r="B178" s="3"/>
      <c r="C178" s="4"/>
      <c r="D178" s="3"/>
      <c r="E178" s="3"/>
      <c r="F178" s="3"/>
      <c r="G178" s="3"/>
    </row>
    <row r="179" spans="2:7" x14ac:dyDescent="0.35">
      <c r="B179" s="3"/>
      <c r="C179" s="4"/>
      <c r="D179" s="3"/>
      <c r="E179" s="3"/>
      <c r="F179" s="3"/>
      <c r="G179" s="3"/>
    </row>
    <row r="180" spans="2:7" x14ac:dyDescent="0.35">
      <c r="B180" s="3"/>
      <c r="C180" s="4"/>
      <c r="D180" s="3"/>
      <c r="E180" s="3"/>
      <c r="F180" s="3"/>
      <c r="G180" s="3"/>
    </row>
    <row r="181" spans="2:7" x14ac:dyDescent="0.35">
      <c r="B181" s="3"/>
      <c r="C181" s="4"/>
      <c r="D181" s="3"/>
      <c r="E181" s="3"/>
      <c r="F181" s="3"/>
      <c r="G181" s="3"/>
    </row>
    <row r="182" spans="2:7" x14ac:dyDescent="0.35">
      <c r="B182" s="3"/>
      <c r="C182" s="4"/>
      <c r="D182" s="3"/>
      <c r="E182" s="3"/>
      <c r="F182" s="3"/>
      <c r="G182" s="3"/>
    </row>
    <row r="183" spans="2:7" x14ac:dyDescent="0.35">
      <c r="B183" s="3"/>
      <c r="C183" s="4"/>
      <c r="D183" s="3"/>
      <c r="E183" s="3"/>
      <c r="F183" s="3"/>
      <c r="G183" s="3"/>
    </row>
    <row r="184" spans="2:7" x14ac:dyDescent="0.35">
      <c r="B184" s="3"/>
      <c r="C184" s="4"/>
      <c r="D184" s="3"/>
      <c r="E184" s="3"/>
      <c r="F184" s="3"/>
      <c r="G184" s="3"/>
    </row>
    <row r="185" spans="2:7" x14ac:dyDescent="0.35">
      <c r="B185" s="3"/>
      <c r="C185" s="4"/>
      <c r="D185" s="3"/>
      <c r="E185" s="3"/>
      <c r="F185" s="3"/>
      <c r="G185" s="3"/>
    </row>
    <row r="186" spans="2:7" x14ac:dyDescent="0.35">
      <c r="B186" s="3"/>
      <c r="C186" s="4"/>
      <c r="D186" s="3"/>
      <c r="E186" s="3"/>
      <c r="F186" s="3"/>
      <c r="G186" s="3"/>
    </row>
    <row r="187" spans="2:7" x14ac:dyDescent="0.35">
      <c r="B187" s="3"/>
      <c r="C187" s="4"/>
      <c r="D187" s="3"/>
      <c r="E187" s="3"/>
      <c r="F187" s="3"/>
      <c r="G187" s="3"/>
    </row>
    <row r="188" spans="2:7" x14ac:dyDescent="0.35">
      <c r="B188" s="3"/>
      <c r="C188" s="4"/>
      <c r="D188" s="3"/>
      <c r="E188" s="3"/>
      <c r="F188" s="3"/>
      <c r="G188" s="3"/>
    </row>
    <row r="189" spans="2:7" x14ac:dyDescent="0.35">
      <c r="B189" s="3"/>
      <c r="C189" s="4"/>
      <c r="D189" s="3"/>
      <c r="E189" s="3"/>
      <c r="F189" s="3"/>
      <c r="G189" s="3"/>
    </row>
    <row r="190" spans="2:7" x14ac:dyDescent="0.35">
      <c r="B190" s="3"/>
      <c r="C190" s="4"/>
      <c r="D190" s="3"/>
      <c r="E190" s="3"/>
      <c r="F190" s="3"/>
      <c r="G190" s="3"/>
    </row>
    <row r="191" spans="2:7" x14ac:dyDescent="0.35">
      <c r="B191" s="3"/>
      <c r="C191" s="4"/>
      <c r="D191" s="3"/>
      <c r="E191" s="3"/>
      <c r="F191" s="3"/>
      <c r="G191" s="3"/>
    </row>
    <row r="192" spans="2:7" x14ac:dyDescent="0.35">
      <c r="B192" s="3"/>
      <c r="C192" s="4"/>
      <c r="D192" s="3"/>
      <c r="E192" s="3"/>
      <c r="F192" s="3"/>
      <c r="G192" s="3"/>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C66D7-D309-E24D-A025-B75E3F9BB336}">
  <dimension ref="B1:C18"/>
  <sheetViews>
    <sheetView workbookViewId="0">
      <selection activeCell="E13" sqref="E13"/>
    </sheetView>
  </sheetViews>
  <sheetFormatPr defaultColWidth="10.6640625" defaultRowHeight="15.5" x14ac:dyDescent="0.35"/>
  <cols>
    <col min="1" max="1" width="15.33203125" customWidth="1"/>
    <col min="2" max="2" width="21.33203125" customWidth="1"/>
    <col min="3" max="3" width="14.33203125" customWidth="1"/>
    <col min="6" max="6" width="23.83203125" customWidth="1"/>
    <col min="7" max="7" width="14.6640625" customWidth="1"/>
  </cols>
  <sheetData>
    <row r="1" spans="2:3" x14ac:dyDescent="0.35">
      <c r="B1" s="23" t="s">
        <v>125</v>
      </c>
      <c r="C1" s="23"/>
    </row>
    <row r="3" spans="2:3" x14ac:dyDescent="0.35">
      <c r="B3" t="s">
        <v>126</v>
      </c>
    </row>
    <row r="4" spans="2:3" x14ac:dyDescent="0.35">
      <c r="B4" s="6" t="s">
        <v>1</v>
      </c>
      <c r="C4" s="8" t="s">
        <v>6</v>
      </c>
    </row>
    <row r="5" spans="2:3" x14ac:dyDescent="0.35">
      <c r="B5" s="6" t="s">
        <v>128</v>
      </c>
      <c r="C5" s="8">
        <v>205</v>
      </c>
    </row>
    <row r="6" spans="2:3" x14ac:dyDescent="0.35">
      <c r="B6" s="6" t="s">
        <v>3</v>
      </c>
      <c r="C6" s="8">
        <v>86</v>
      </c>
    </row>
    <row r="7" spans="2:3" x14ac:dyDescent="0.35">
      <c r="B7" s="6" t="s">
        <v>4</v>
      </c>
      <c r="C7" s="8">
        <v>183</v>
      </c>
    </row>
    <row r="8" spans="2:3" x14ac:dyDescent="0.35">
      <c r="B8" s="7" t="s">
        <v>129</v>
      </c>
      <c r="C8" s="8">
        <v>10</v>
      </c>
    </row>
    <row r="9" spans="2:3" x14ac:dyDescent="0.35">
      <c r="B9" s="7" t="s">
        <v>130</v>
      </c>
      <c r="C9" s="8">
        <v>20</v>
      </c>
    </row>
    <row r="15" spans="2:3" x14ac:dyDescent="0.35">
      <c r="B15" s="23" t="s">
        <v>127</v>
      </c>
      <c r="C15" s="23"/>
    </row>
    <row r="16" spans="2:3" x14ac:dyDescent="0.35">
      <c r="B16" s="7" t="s">
        <v>123</v>
      </c>
      <c r="C16" s="8">
        <f>PRODUCT(C7,C5)</f>
        <v>37515</v>
      </c>
    </row>
    <row r="17" spans="2:3" x14ac:dyDescent="0.35">
      <c r="B17" s="7" t="s">
        <v>122</v>
      </c>
      <c r="C17" s="8">
        <f>SUM(C6,C8:C9)*C5</f>
        <v>23780</v>
      </c>
    </row>
    <row r="18" spans="2:3" x14ac:dyDescent="0.35">
      <c r="B18" s="7" t="s">
        <v>124</v>
      </c>
      <c r="C18" s="8">
        <f>C16-C17</f>
        <v>13735</v>
      </c>
    </row>
  </sheetData>
  <scenarios current="1" show="0" sqref="J4">
    <scenario name="300" locked="1" count="1" user="Microsoft Office User" comment="Created by Microsoft Office User on 25/08/2023_x000a_Modified by Microsoft Office User on 25/08/2023">
      <inputCells r="G5" val="300"/>
    </scenario>
    <scenario name="400" locked="1" count="1" user="Microsoft Office User" comment="Created by Microsoft Office User on 25/08/2023">
      <inputCells r="G5" val="400"/>
    </scenario>
  </scenarios>
  <mergeCells count="2">
    <mergeCell ref="B1:C1"/>
    <mergeCell ref="B15:C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FF2E7-2375-40DB-92CF-2621227EEADF}">
  <dimension ref="A2:M50"/>
  <sheetViews>
    <sheetView showGridLines="0" zoomScale="45" zoomScaleNormal="45" workbookViewId="0">
      <selection activeCell="J4" sqref="J4"/>
    </sheetView>
  </sheetViews>
  <sheetFormatPr defaultRowHeight="15.5" x14ac:dyDescent="0.35"/>
  <cols>
    <col min="1" max="1" width="27.08203125" bestFit="1" customWidth="1"/>
    <col min="2" max="2" width="23.58203125" bestFit="1" customWidth="1"/>
    <col min="3" max="3" width="19.9140625" bestFit="1" customWidth="1"/>
    <col min="6" max="6" width="19.1640625" bestFit="1" customWidth="1"/>
    <col min="7" max="7" width="22.5" bestFit="1" customWidth="1"/>
    <col min="8" max="8" width="23.75" bestFit="1" customWidth="1"/>
    <col min="10" max="10" width="27.08203125" bestFit="1" customWidth="1"/>
    <col min="11" max="11" width="31.1640625" bestFit="1" customWidth="1"/>
    <col min="12" max="12" width="18.9140625" bestFit="1" customWidth="1"/>
  </cols>
  <sheetData>
    <row r="2" spans="3:11" ht="33.5" x14ac:dyDescent="0.75">
      <c r="C2" s="15"/>
      <c r="D2" s="16"/>
      <c r="E2" s="24" t="s">
        <v>143</v>
      </c>
      <c r="F2" s="25"/>
      <c r="G2" s="25"/>
      <c r="H2" s="25"/>
      <c r="I2" s="25"/>
      <c r="J2" s="25"/>
      <c r="K2" s="25"/>
    </row>
    <row r="4" spans="3:11" x14ac:dyDescent="0.35">
      <c r="J4" t="s">
        <v>144</v>
      </c>
      <c r="K4" s="18"/>
    </row>
    <row r="22" spans="2:13" ht="28.5" x14ac:dyDescent="0.65">
      <c r="B22" s="21">
        <f>SUM(Table1[REVENUE])</f>
        <v>5688998</v>
      </c>
      <c r="H22" s="19">
        <f>SUM(Table1[REVENUE])</f>
        <v>5688998</v>
      </c>
      <c r="L22" s="20">
        <f>SUM(Table1[UNIT PRODUCED])</f>
        <v>31351</v>
      </c>
      <c r="M22" s="17"/>
    </row>
    <row r="34" spans="1:11" x14ac:dyDescent="0.35">
      <c r="A34" s="13" t="s">
        <v>132</v>
      </c>
      <c r="B34" t="s">
        <v>135</v>
      </c>
      <c r="C34" t="s">
        <v>134</v>
      </c>
    </row>
    <row r="35" spans="1:11" x14ac:dyDescent="0.35">
      <c r="A35" s="3" t="s">
        <v>15</v>
      </c>
      <c r="B35">
        <v>84238</v>
      </c>
      <c r="C35">
        <v>45202</v>
      </c>
    </row>
    <row r="36" spans="1:11" x14ac:dyDescent="0.35">
      <c r="A36" s="3" t="s">
        <v>34</v>
      </c>
      <c r="B36">
        <v>80059</v>
      </c>
      <c r="C36">
        <v>40934</v>
      </c>
    </row>
    <row r="37" spans="1:11" x14ac:dyDescent="0.35">
      <c r="A37" s="3" t="s">
        <v>19</v>
      </c>
      <c r="B37">
        <v>79739</v>
      </c>
      <c r="C37">
        <v>41225</v>
      </c>
    </row>
    <row r="38" spans="1:11" x14ac:dyDescent="0.35">
      <c r="A38" s="3" t="s">
        <v>6</v>
      </c>
      <c r="B38">
        <v>83145</v>
      </c>
      <c r="C38">
        <v>42583</v>
      </c>
    </row>
    <row r="39" spans="1:11" x14ac:dyDescent="0.35">
      <c r="A39" s="3" t="s">
        <v>24</v>
      </c>
      <c r="B39">
        <v>117488</v>
      </c>
      <c r="C39">
        <v>64117</v>
      </c>
      <c r="F39" s="13" t="s">
        <v>132</v>
      </c>
      <c r="G39" t="s">
        <v>135</v>
      </c>
      <c r="J39" s="13" t="s">
        <v>132</v>
      </c>
      <c r="K39" t="s">
        <v>142</v>
      </c>
    </row>
    <row r="40" spans="1:11" x14ac:dyDescent="0.35">
      <c r="A40" s="3" t="s">
        <v>26</v>
      </c>
      <c r="B40">
        <v>81203</v>
      </c>
      <c r="C40">
        <v>44329</v>
      </c>
      <c r="F40" s="3" t="s">
        <v>136</v>
      </c>
      <c r="G40">
        <v>4078249</v>
      </c>
      <c r="J40" s="3" t="s">
        <v>35</v>
      </c>
      <c r="K40">
        <v>441</v>
      </c>
    </row>
    <row r="41" spans="1:11" x14ac:dyDescent="0.35">
      <c r="A41" s="3" t="s">
        <v>31</v>
      </c>
      <c r="B41">
        <v>81164</v>
      </c>
      <c r="C41">
        <v>42001</v>
      </c>
      <c r="F41" s="14" t="s">
        <v>138</v>
      </c>
      <c r="G41">
        <v>3774319</v>
      </c>
      <c r="J41" s="3" t="s">
        <v>15</v>
      </c>
      <c r="K41">
        <v>466</v>
      </c>
    </row>
    <row r="42" spans="1:11" x14ac:dyDescent="0.35">
      <c r="A42" s="3" t="s">
        <v>32</v>
      </c>
      <c r="B42">
        <v>85167</v>
      </c>
      <c r="C42">
        <v>43941</v>
      </c>
      <c r="F42" s="14" t="s">
        <v>139</v>
      </c>
      <c r="G42">
        <v>303930</v>
      </c>
      <c r="J42" s="3" t="s">
        <v>19</v>
      </c>
      <c r="K42">
        <v>425</v>
      </c>
    </row>
    <row r="43" spans="1:11" x14ac:dyDescent="0.35">
      <c r="A43" s="3" t="s">
        <v>14</v>
      </c>
      <c r="B43">
        <v>80595</v>
      </c>
      <c r="C43">
        <v>41031</v>
      </c>
      <c r="F43" s="3" t="s">
        <v>137</v>
      </c>
      <c r="G43">
        <v>1610749</v>
      </c>
      <c r="J43" s="3" t="s">
        <v>6</v>
      </c>
      <c r="K43">
        <v>439</v>
      </c>
    </row>
    <row r="44" spans="1:11" x14ac:dyDescent="0.35">
      <c r="A44" s="3" t="s">
        <v>17</v>
      </c>
      <c r="B44">
        <v>79800</v>
      </c>
      <c r="C44">
        <v>42777</v>
      </c>
      <c r="F44" s="14" t="s">
        <v>140</v>
      </c>
      <c r="G44">
        <v>687549</v>
      </c>
      <c r="J44" s="3" t="s">
        <v>24</v>
      </c>
      <c r="K44">
        <v>661</v>
      </c>
    </row>
    <row r="45" spans="1:11" x14ac:dyDescent="0.35">
      <c r="A45" s="3" t="s">
        <v>133</v>
      </c>
      <c r="B45">
        <v>852598</v>
      </c>
      <c r="C45">
        <v>448140</v>
      </c>
      <c r="F45" s="14" t="s">
        <v>141</v>
      </c>
      <c r="G45">
        <v>923200</v>
      </c>
      <c r="J45" s="3" t="s">
        <v>26</v>
      </c>
      <c r="K45">
        <v>457</v>
      </c>
    </row>
    <row r="46" spans="1:11" x14ac:dyDescent="0.35">
      <c r="F46" s="3" t="s">
        <v>133</v>
      </c>
      <c r="G46">
        <v>5688998</v>
      </c>
      <c r="J46" s="3" t="s">
        <v>31</v>
      </c>
      <c r="K46">
        <v>433</v>
      </c>
    </row>
    <row r="47" spans="1:11" x14ac:dyDescent="0.35">
      <c r="J47" s="3" t="s">
        <v>32</v>
      </c>
      <c r="K47">
        <v>453</v>
      </c>
    </row>
    <row r="48" spans="1:11" x14ac:dyDescent="0.35">
      <c r="J48" s="3" t="s">
        <v>14</v>
      </c>
      <c r="K48">
        <v>423</v>
      </c>
    </row>
    <row r="49" spans="10:11" x14ac:dyDescent="0.35">
      <c r="J49" s="3" t="s">
        <v>17</v>
      </c>
      <c r="K49">
        <v>441</v>
      </c>
    </row>
    <row r="50" spans="10:11" x14ac:dyDescent="0.35">
      <c r="J50" s="3" t="s">
        <v>133</v>
      </c>
      <c r="K50">
        <v>4639</v>
      </c>
    </row>
  </sheetData>
  <mergeCells count="1">
    <mergeCell ref="E2:K2"/>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E6965-7A17-4F1B-8B8E-E2A177CBE894}">
  <dimension ref="A2:K14"/>
  <sheetViews>
    <sheetView showGridLines="0" workbookViewId="0">
      <selection activeCell="G19" sqref="G19"/>
    </sheetView>
  </sheetViews>
  <sheetFormatPr defaultRowHeight="15.5" x14ac:dyDescent="0.35"/>
  <sheetData>
    <row r="2" spans="1:11" x14ac:dyDescent="0.35">
      <c r="D2" s="22" t="s">
        <v>146</v>
      </c>
    </row>
    <row r="3" spans="1:11" x14ac:dyDescent="0.35">
      <c r="A3" t="s">
        <v>153</v>
      </c>
    </row>
    <row r="4" spans="1:11" x14ac:dyDescent="0.35">
      <c r="A4" t="s">
        <v>156</v>
      </c>
      <c r="K4" s="15"/>
    </row>
    <row r="5" spans="1:11" x14ac:dyDescent="0.35">
      <c r="A5" t="s">
        <v>154</v>
      </c>
    </row>
    <row r="6" spans="1:11" x14ac:dyDescent="0.35">
      <c r="A6" t="s">
        <v>155</v>
      </c>
    </row>
    <row r="8" spans="1:11" x14ac:dyDescent="0.35">
      <c r="B8" s="22" t="s">
        <v>145</v>
      </c>
    </row>
    <row r="9" spans="1:11" x14ac:dyDescent="0.35">
      <c r="A9" t="s">
        <v>147</v>
      </c>
    </row>
    <row r="10" spans="1:11" x14ac:dyDescent="0.35">
      <c r="A10" t="s">
        <v>148</v>
      </c>
    </row>
    <row r="11" spans="1:11" x14ac:dyDescent="0.35">
      <c r="A11" t="s">
        <v>149</v>
      </c>
    </row>
    <row r="12" spans="1:11" x14ac:dyDescent="0.35">
      <c r="A12" t="s">
        <v>150</v>
      </c>
    </row>
    <row r="13" spans="1:11" x14ac:dyDescent="0.35">
      <c r="A13" t="s">
        <v>151</v>
      </c>
    </row>
    <row r="14" spans="1:11" x14ac:dyDescent="0.35">
      <c r="A14" t="s">
        <v>152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WHAT IF ANALYSIS</vt:lpstr>
      <vt:lpstr>Dashboard</vt:lpstr>
      <vt:lpstr>Story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Chirstianah Daniel</cp:lastModifiedBy>
  <dcterms:created xsi:type="dcterms:W3CDTF">2023-08-18T06:11:12Z</dcterms:created>
  <dcterms:modified xsi:type="dcterms:W3CDTF">2026-05-20T12:34:40Z</dcterms:modified>
</cp:coreProperties>
</file>